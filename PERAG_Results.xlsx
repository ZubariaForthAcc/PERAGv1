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ubariaAsma\Downloads\"/>
    </mc:Choice>
  </mc:AlternateContent>
  <xr:revisionPtr revIDLastSave="0" documentId="13_ncr:1_{76551688-F9F0-42A3-B35A-0E71BA7F1DFF}" xr6:coauthVersionLast="47" xr6:coauthVersionMax="47" xr10:uidLastSave="{00000000-0000-0000-0000-000000000000}"/>
  <bookViews>
    <workbookView xWindow="57480" yWindow="-120" windowWidth="29040" windowHeight="17520" tabRatio="500" xr2:uid="{00000000-000D-0000-FFFF-FFFF00000000}"/>
  </bookViews>
  <sheets>
    <sheet name="README" sheetId="1" r:id="rId1"/>
    <sheet name="Raw_Recall_AllBackbones" sheetId="2" r:id="rId2"/>
    <sheet name="Raw_Gemma_FakeAccept_Recall" sheetId="3" r:id="rId3"/>
    <sheet name="Table3_Recall" sheetId="4" r:id="rId4"/>
    <sheet name="Table4_Lineage" sheetId="5" r:id="rId5"/>
    <sheet name="Raw_FakeAcceptance_AllBackbones" sheetId="6" r:id="rId6"/>
    <sheet name="Table1_Table2_FakeAcceptance" sheetId="7" r:id="rId7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2" i="7" l="1"/>
  <c r="C32" i="7"/>
  <c r="D32" i="7" s="1"/>
  <c r="B32" i="7"/>
  <c r="E31" i="7"/>
  <c r="C31" i="7"/>
  <c r="D31" i="7" s="1"/>
  <c r="B31" i="7"/>
  <c r="E30" i="7"/>
  <c r="C30" i="7"/>
  <c r="D30" i="7" s="1"/>
  <c r="B30" i="7"/>
  <c r="E23" i="7"/>
  <c r="C23" i="7"/>
  <c r="D23" i="7" s="1"/>
  <c r="B23" i="7"/>
  <c r="E22" i="7"/>
  <c r="C22" i="7"/>
  <c r="D22" i="7" s="1"/>
  <c r="B22" i="7"/>
  <c r="E21" i="7"/>
  <c r="C21" i="7"/>
  <c r="D21" i="7" s="1"/>
  <c r="B21" i="7"/>
  <c r="E14" i="7"/>
  <c r="C14" i="7"/>
  <c r="D14" i="7" s="1"/>
  <c r="B14" i="7"/>
  <c r="E13" i="7"/>
  <c r="C13" i="7"/>
  <c r="D13" i="7" s="1"/>
  <c r="B13" i="7"/>
  <c r="E12" i="7"/>
  <c r="C12" i="7"/>
  <c r="D12" i="7" s="1"/>
  <c r="B12" i="7"/>
  <c r="E6" i="7"/>
  <c r="C6" i="7"/>
  <c r="D6" i="7" s="1"/>
  <c r="B6" i="7"/>
  <c r="B20" i="5"/>
  <c r="B19" i="5"/>
  <c r="B18" i="5"/>
  <c r="B14" i="5"/>
  <c r="B13" i="5"/>
  <c r="B12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C9" i="4"/>
  <c r="B9" i="4"/>
  <c r="C8" i="4"/>
  <c r="B8" i="4"/>
  <c r="C7" i="4"/>
  <c r="B7" i="4"/>
  <c r="C6" i="4"/>
  <c r="B6" i="4"/>
  <c r="C5" i="4"/>
  <c r="B5" i="4"/>
</calcChain>
</file>

<file path=xl/sharedStrings.xml><?xml version="1.0" encoding="utf-8"?>
<sst xmlns="http://schemas.openxmlformats.org/spreadsheetml/2006/main" count="1468" uniqueCount="129">
  <si>
    <t>PERAG — Results Reproducibility Package</t>
  </si>
  <si>
    <t>Provenance-Enhanced Retrieval-Augmented Generation with How-Provenance Polynomials — GLOW@ISWC’26</t>
  </si>
  <si>
    <t>Sheet</t>
  </si>
  <si>
    <t>Contents</t>
  </si>
  <si>
    <t>Raw_Recall_AllBackbones</t>
  </si>
  <si>
    <t>Per-cell gold recall (C1, C2, C3, C4@50%), all 3 backbones x 3 prompts x 16 query sets (n=144).</t>
  </si>
  <si>
    <t>Raw_FakeAcceptance_AllBackbones</t>
  </si>
  <si>
    <t>Per-cell fake-fact acceptance (C3, C4), all 3 backbones x 3 prompts x 16 query sets (n=144). Backs Tables 1 &amp; 2.</t>
  </si>
  <si>
    <t>Raw_Gemma_FakeAccept_Recall</t>
  </si>
  <si>
    <t>Per-cell fake-fact acceptance (C3, C4, C5) and recall (incl. C4@0% and C5) for Gemma only, 3 prompts x 16 query sets (n=48). Backs Table 4.</t>
  </si>
  <si>
    <t>Table3_Recall</t>
  </si>
  <si>
    <t>Reproduces paper Table 3 (gold recall by condition) with live formulas over Raw_Recall_AllBackbones and the Gemma sheet (for C4@0%).</t>
  </si>
  <si>
    <t>Table4_Lineage</t>
  </si>
  <si>
    <t>Reproduces paper Table 4 (how-provenance C4 vs. flat-lineage C5, single backbone) with live formulas over Raw_Gemma_FakeAccept_Recall.</t>
  </si>
  <si>
    <t>Table1_Table2_FakeAcceptance</t>
  </si>
  <si>
    <t>Reproduces paper Tables 1 &amp; 2 (fake-fact acceptance by domain / backbone / prompt) with live formulas over Raw_FakeAcceptance_AllBackbones.</t>
  </si>
  <si>
    <t>Backbone</t>
  </si>
  <si>
    <t>Prompt</t>
  </si>
  <si>
    <t>Domain</t>
  </si>
  <si>
    <t>QuerySet</t>
  </si>
  <si>
    <t>C1_recall</t>
  </si>
  <si>
    <t>C2_recall</t>
  </si>
  <si>
    <t>C3_recall</t>
  </si>
  <si>
    <t>C4at50_recall</t>
  </si>
  <si>
    <t>RedHatAI/gemma-4-26B-A4B-it-FP8-Dynamic</t>
  </si>
  <si>
    <t>Standard (list-based)</t>
  </si>
  <si>
    <t>Medical</t>
  </si>
  <si>
    <t>Narrow TI: Tacrolimus + Digoxin [KG-RAG SPOKE 2024]</t>
  </si>
  <si>
    <t>Analyst (evaluate + list)</t>
  </si>
  <si>
    <t>OPRO-style (optimised)</t>
  </si>
  <si>
    <t>llama-3.3-70b-versatile</t>
  </si>
  <si>
    <t>QuantTrio/Qwen3.6-35B-A3B-AWQ</t>
  </si>
  <si>
    <t>PGx CYP: Clopidogrel + Warfarin [MIRAGE ACL 2024]</t>
  </si>
  <si>
    <t> Statin Safety: Simvastatin + Atorvastatin [MedHalt 2023]</t>
  </si>
  <si>
    <t>MedHalt — Hallucination Test [Pal et al., CoNLL 2023]</t>
  </si>
  <si>
    <t>MIRAGE — Biomedical RAG Benchmark [Xiong et al., ACL 2024]</t>
  </si>
  <si>
    <t>KG-RAG SPOKE — MCQ + True/False [Baranzini Lab 2024]</t>
  </si>
  <si>
    <t>Full Contraindication Panel — 8 drugs [Composite 2024]</t>
  </si>
  <si>
    <t>Geography</t>
  </si>
  <si>
    <t>QALD-9 — DBpedia SPARQL QA [Perevalov et al. 2022]</t>
  </si>
  <si>
    <t>SimpleQA — Geographic Facts [OpenAI 2024]</t>
  </si>
  <si>
    <t> LC-QuAD 2.0 — Complex Multi-hop [Dubey et al. 2019]</t>
  </si>
  <si>
    <t> MultiHal — KG-Grounded Eval [Lavrinovics et al. 2025]</t>
  </si>
  <si>
    <t>General Knowledge</t>
  </si>
  <si>
    <t>HotpotQA — Multi-hop [Yang et al., EMNLP 2018]</t>
  </si>
  <si>
    <t>MuSiQue — Compositional [Trivedi et al., TACL 2022]</t>
  </si>
  <si>
    <t>KGQAGen-10k — Verified Wikidata QA [Jain et al. 2025]</t>
  </si>
  <si>
    <t>Defan — Definitive Answer Eval [Rahman et al. 2024]</t>
  </si>
  <si>
    <t>General Full Panel [HotpotQA + MuSiQue + KGQAGen]</t>
  </si>
  <si>
    <t>Source: ResultPerag.xlsx (uploaded by user, unmodified values). Recall only — no fake-fact acceptance scoring in this file. "C4at50_recall" = the C4 column in the original file, which matches the paper's C4@50% recall figure (86.4% overall), not C4@0%.</t>
  </si>
  <si>
    <t>Model</t>
  </si>
  <si>
    <t>Benchmark</t>
  </si>
  <si>
    <t>C3_fake</t>
  </si>
  <si>
    <t>C4_fake</t>
  </si>
  <si>
    <t>C5_fake</t>
  </si>
  <si>
    <t>C5_recall</t>
  </si>
  <si>
    <t>C4at0_recall</t>
  </si>
  <si>
    <t>Gemma</t>
  </si>
  <si>
    <t>Standard</t>
  </si>
  <si>
    <t>ðŸŽ¯ Narrow Therapeutic Index [Tacrolimus + Digoxin + Warfarin]</t>
  </si>
  <si>
    <t>medical</t>
  </si>
  <si>
    <t>ðŸ§¬ Pharmacogenomics CYP [Clopidogrel + Warfarin + Simvastatin + Metformin]</t>
  </si>
  <si>
    <t>ðŸ’Š Statin Safety Interactions [Simvastatin + Atorvastatin + Digoxin + Warfarin]</t>
  </si>
  <si>
    <t>ðŸ”¬ MedHalt â€” Hallucination Test [Pal et al., CoNLL 2023]</t>
  </si>
  <si>
    <t>ðŸ¥ MIRAGE â€” Biomedical RAG Benchmark [Xiong et al., ACL 2024]</t>
  </si>
  <si>
    <t>ðŸ§  KG-RAG SPOKE â€” Biomedical True/False + MCQ [Baranzini Lab 2024]</t>
  </si>
  <si>
    <t>âš ï¸ Full Contraindication Panel â€” 8 drugs</t>
  </si>
  <si>
    <t>ðŸŒ QALD-9 â€” DBpedia SPARQL QA [Perevalov et al. 2022]</t>
  </si>
  <si>
    <t>geographic</t>
  </si>
  <si>
    <t>ðŸ“ SimpleQA â€” Geographic Facts [OpenAI 2024]</t>
  </si>
  <si>
    <t>ðŸ—ºï¸ LC-QuAD 2.0 â€” Complex Geographic QA [Dubey et al., ISWC 2019]</t>
  </si>
  <si>
    <t>ðŸŒ MultiHal â€” KG-Grounded Hallucination Eval [Lavrinovics et al., 2025]</t>
  </si>
  <si>
    <t>ðŸ”¥ HotpotQA â€” Multi-hop Reasoning [Yang et al., EMNLP 2018]</t>
  </si>
  <si>
    <t>general</t>
  </si>
  <si>
    <t>ðŸ§© MuSiQue â€” Compositional Multi-hop [Trivedi et al., TACL 2022]</t>
  </si>
  <si>
    <t>âœ… KGQAGen-10k â€” Wikidata Verified QA [Jain et al., 2025]</t>
  </si>
  <si>
    <t>ðŸ“‹ Defan â€” Definitive Answer Hallucination Eval [Rahman et al., 2024]</t>
  </si>
  <si>
    <t>ðŸ“š General Full Panel â€” 8 entities [HotpotQA + MuSiQue + KGQAGen pattern]</t>
  </si>
  <si>
    <t>Analyst</t>
  </si>
  <si>
    <t>Optimised</t>
  </si>
  <si>
    <t>Source: ResultLLM4.xlsx (uploaded by user, unmodified values; benchmark names decoded from mojibake emoji). Gemma-only — matches the single-backbone scope of the paper's C4-vs-C5 lineage comparison (Section 5.5, Table 4).</t>
  </si>
  <si>
    <t>Table 3 — Gold recall by condition (reproduces paper Section 5.4)</t>
  </si>
  <si>
    <t>Overall (n=144 for C1/C2/C3/C4@50%, all 3 backbones; n=48 for C4@0%, Gemma only)</t>
  </si>
  <si>
    <t>Condition</t>
  </si>
  <si>
    <t>Recall</t>
  </si>
  <si>
    <t>n</t>
  </si>
  <si>
    <t>Scope</t>
  </si>
  <si>
    <t>Formula</t>
  </si>
  <si>
    <t>C1 (parametric only)</t>
  </si>
  <si>
    <t>All 3 backbones</t>
  </si>
  <si>
    <t>C2 (clean RAG)</t>
  </si>
  <si>
    <t>C3 (polluted RAG, reference only)</t>
  </si>
  <si>
    <t>C4@0% (PERAG, no fakes)</t>
  </si>
  <si>
    <t>Gemma only — not available for Llama/Qwen</t>
  </si>
  <si>
    <t>C4@50% (PERAG, heavy pollution)</t>
  </si>
  <si>
    <t>Paper-reported values for comparison:</t>
  </si>
  <si>
    <t>C1</t>
  </si>
  <si>
    <t>C2</t>
  </si>
  <si>
    <t>C3</t>
  </si>
  <si>
    <t>C4@0%</t>
  </si>
  <si>
    <t>C4@50%</t>
  </si>
  <si>
    <t>Table 4 — How-provenance (C4) vs. flat lineage (C5), single backbone (reproduces paper Section 5.5)</t>
  </si>
  <si>
    <t>Scope: Gemma-4-26B-A4B only, 3 prompts x 16 query sets, n=48 (matches paper's stated single-backbone scope for this comparison)</t>
  </si>
  <si>
    <t>C3 fake-accept %</t>
  </si>
  <si>
    <t>C4 fake-accept %</t>
  </si>
  <si>
    <t>C5 fake-accept %</t>
  </si>
  <si>
    <t>Overall</t>
  </si>
  <si>
    <t>Cell-level win/tie/loss count (C4 vs. C5, lower fake-acceptance = win)</t>
  </si>
  <si>
    <t>C4 &lt; C5 (how-provenance wins)</t>
  </si>
  <si>
    <t>C4 = C5 (tie)</t>
  </si>
  <si>
    <t>C4 &gt; C5 (lineage wins)</t>
  </si>
  <si>
    <t>Recall check: C4@50% vs. C2 (clean) and C5 (lineage)</t>
  </si>
  <si>
    <t>C2 (clean RAG) recall</t>
  </si>
  <si>
    <t>C4@50% recall</t>
  </si>
  <si>
    <t>C5 recall</t>
  </si>
  <si>
    <t>Paper-reported values for comparison (Table 4, overall row): C3=46.4%, C4=16.4%, C5=25.6%; wins 42, ties 6, losses 0; C4@50% recall = 95.7%</t>
  </si>
  <si>
    <t>Source: esultPerag2.xlsx (uploaded by user). Fake-fact acceptance (C3=polluted RAG, no provenance; C4=PERAG with provenance token) across all 3 backbones x 3 prompts x 16 query sets (n=144). One malformed cell in the original file (Llama / OPRO-style / QALD-9 / C4, stored as the text "13%\n" instead of a number) was parsed to 0.13 — confirmed consistent with the surrounding data. This sheet, cross-checked against the paper, reproduces Tables 1 and 2 exactly (see Table1_Table2_FakeAcceptance sheet).</t>
  </si>
  <si>
    <t>Tables 1 &amp; 2 — Fake-fact acceptance, C3 vs. C4 (reproduces paper Section 5.3)</t>
  </si>
  <si>
    <t>All figures below are computed live from Raw_FakeAcceptance_AllBackbones (n=144, all 3 backbones x 3 prompts x 16 query sets).</t>
  </si>
  <si>
    <t>C3 fake%</t>
  </si>
  <si>
    <t>C4 fake%</t>
  </si>
  <si>
    <t>Rel. reduction</t>
  </si>
  <si>
    <t>All domains / backbones / prompts</t>
  </si>
  <si>
    <t>Table 1 — by domain (all backbones combined)</t>
  </si>
  <si>
    <t>Table 2 — by backbone LLM</t>
  </si>
  <si>
    <t>Gemma-4-26B-A4B</t>
  </si>
  <si>
    <t>Llama-3.3-70B</t>
  </si>
  <si>
    <t>Qwen3.6-35B</t>
  </si>
  <si>
    <t>Table 2 — by prompt phrasing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</si>
</sst>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2E7D32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7" fillId="0" borderId="0" xfId="0" applyFont="1" applyBorder="1"/>
    <xf numFmtId="0" fontId="7" fillId="0" borderId="0" xfId="0" applyFont="1" applyBorder="1" applyAlignment="1"/>
    <xf numFmtId="0" fontId="4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0" fillId="0" borderId="0" xfId="0" applyAlignme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164" fontId="4" fillId="0" borderId="1" xfId="0" applyNumberFormat="1" applyFont="1" applyBorder="1" applyAlignment="1"/>
    <xf numFmtId="0" fontId="3" fillId="0" borderId="0" xfId="0" applyFont="1" applyAlignment="1"/>
    <xf numFmtId="0" fontId="7" fillId="0" borderId="0" xfId="0" applyFont="1" applyAlignment="1"/>
    <xf numFmtId="164" fontId="4" fillId="0" borderId="0" xfId="0" applyNumberFormat="1" applyFont="1" applyAlignment="1"/>
    <xf numFmtId="0" fontId="4" fillId="0" borderId="0" xfId="0" applyFont="1"/>
    <xf numFmtId="164" fontId="4" fillId="0" borderId="1" xfId="0" applyNumberFormat="1" applyFont="1" applyBorder="1"/>
    <xf numFmtId="164" fontId="4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tabSelected="1" zoomScaleNormal="100" workbookViewId="0">
      <selection activeCell="B3" sqref="B3"/>
    </sheetView>
  </sheetViews>
  <sheetFormatPr defaultColWidth="8.6640625" defaultRowHeight="14.25" x14ac:dyDescent="0.45"/>
  <cols>
    <col min="1" max="1" width="3" customWidth="1"/>
    <col min="2" max="2" width="34" customWidth="1"/>
    <col min="3" max="3" width="90" customWidth="1"/>
    <col min="4" max="8" width="14" customWidth="1"/>
  </cols>
  <sheetData>
    <row r="2" spans="2:8" ht="17.649999999999999" x14ac:dyDescent="0.5">
      <c r="B2" s="4" t="s">
        <v>0</v>
      </c>
    </row>
    <row r="3" spans="2:8" x14ac:dyDescent="0.45">
      <c r="B3" s="5" t="s">
        <v>1</v>
      </c>
    </row>
    <row r="5" spans="2:8" x14ac:dyDescent="0.45">
      <c r="B5" s="6"/>
      <c r="C5" s="7"/>
    </row>
    <row r="6" spans="2:8" x14ac:dyDescent="0.45">
      <c r="B6" s="6" t="s">
        <v>2</v>
      </c>
      <c r="C6" s="7" t="s">
        <v>3</v>
      </c>
    </row>
    <row r="7" spans="2:8" x14ac:dyDescent="0.45">
      <c r="B7" s="6" t="s">
        <v>4</v>
      </c>
      <c r="C7" s="7" t="s">
        <v>5</v>
      </c>
    </row>
    <row r="8" spans="2:8" ht="27" x14ac:dyDescent="0.45">
      <c r="B8" s="6" t="s">
        <v>6</v>
      </c>
      <c r="C8" s="7" t="s">
        <v>7</v>
      </c>
    </row>
    <row r="9" spans="2:8" ht="27" x14ac:dyDescent="0.45">
      <c r="B9" s="6" t="s">
        <v>8</v>
      </c>
      <c r="C9" s="7" t="s">
        <v>9</v>
      </c>
    </row>
    <row r="10" spans="2:8" ht="27" x14ac:dyDescent="0.45">
      <c r="B10" s="6" t="s">
        <v>10</v>
      </c>
      <c r="C10" s="7" t="s">
        <v>11</v>
      </c>
    </row>
    <row r="11" spans="2:8" ht="27" x14ac:dyDescent="0.45">
      <c r="B11" s="6" t="s">
        <v>12</v>
      </c>
      <c r="C11" s="7" t="s">
        <v>13</v>
      </c>
    </row>
    <row r="12" spans="2:8" ht="27" x14ac:dyDescent="0.45">
      <c r="B12" s="6" t="s">
        <v>14</v>
      </c>
      <c r="C12" s="7" t="s">
        <v>15</v>
      </c>
    </row>
    <row r="13" spans="2:8" x14ac:dyDescent="0.45">
      <c r="B13" s="6"/>
      <c r="C13" s="7"/>
    </row>
    <row r="15" spans="2:8" x14ac:dyDescent="0.45">
      <c r="B15" s="8"/>
    </row>
    <row r="16" spans="2:8" ht="84.75" customHeight="1" x14ac:dyDescent="0.45">
      <c r="B16" s="3"/>
      <c r="C16" s="3"/>
      <c r="D16" s="3"/>
      <c r="E16" s="3"/>
      <c r="F16" s="3"/>
      <c r="G16" s="3"/>
      <c r="H16" s="3"/>
    </row>
    <row r="18" spans="2:8" x14ac:dyDescent="0.45">
      <c r="B18" s="6"/>
    </row>
    <row r="19" spans="2:8" ht="45" customHeight="1" x14ac:dyDescent="0.45">
      <c r="B19" s="3"/>
      <c r="C19" s="3"/>
      <c r="D19" s="3"/>
      <c r="E19" s="3"/>
      <c r="F19" s="3"/>
      <c r="G19" s="3"/>
      <c r="H19" s="3"/>
    </row>
  </sheetData>
  <mergeCells count="2">
    <mergeCell ref="B16:H16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zoomScaleNormal="100" workbookViewId="0">
      <pane ySplit="1" topLeftCell="A14" activePane="bottomLeft" state="frozen"/>
      <selection pane="bottomLeft"/>
    </sheetView>
  </sheetViews>
  <sheetFormatPr defaultColWidth="8.6640625" defaultRowHeight="14.25" x14ac:dyDescent="0.45"/>
  <cols>
    <col min="1" max="1" width="42" style="9" customWidth="1"/>
    <col min="2" max="2" width="24" style="9" customWidth="1"/>
    <col min="3" max="3" width="18" style="9" customWidth="1"/>
    <col min="4" max="4" width="46" style="9" customWidth="1"/>
    <col min="5" max="7" width="12" style="9" customWidth="1"/>
    <col min="8" max="8" width="14" style="9" customWidth="1"/>
  </cols>
  <sheetData>
    <row r="1" spans="1:8" ht="15" customHeight="1" x14ac:dyDescent="0.4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</row>
    <row r="2" spans="1:8" ht="15" customHeight="1" x14ac:dyDescent="0.45">
      <c r="A2" s="11" t="s">
        <v>24</v>
      </c>
      <c r="B2" s="11" t="s">
        <v>25</v>
      </c>
      <c r="C2" s="11" t="s">
        <v>26</v>
      </c>
      <c r="D2" s="11" t="s">
        <v>27</v>
      </c>
      <c r="E2" s="12">
        <v>0.77</v>
      </c>
      <c r="F2" s="12">
        <v>0.94</v>
      </c>
      <c r="G2" s="12">
        <v>0.94</v>
      </c>
      <c r="H2" s="12">
        <v>1</v>
      </c>
    </row>
    <row r="3" spans="1:8" ht="15" customHeight="1" x14ac:dyDescent="0.45">
      <c r="A3" s="11" t="s">
        <v>24</v>
      </c>
      <c r="B3" s="11" t="s">
        <v>28</v>
      </c>
      <c r="C3" s="11" t="s">
        <v>26</v>
      </c>
      <c r="D3" s="11" t="s">
        <v>27</v>
      </c>
      <c r="E3" s="12">
        <v>0.77</v>
      </c>
      <c r="F3" s="12">
        <v>0.94</v>
      </c>
      <c r="G3" s="12">
        <v>0.94</v>
      </c>
      <c r="H3" s="12">
        <v>1</v>
      </c>
    </row>
    <row r="4" spans="1:8" ht="15" customHeight="1" x14ac:dyDescent="0.45">
      <c r="A4" s="11" t="s">
        <v>24</v>
      </c>
      <c r="B4" s="11" t="s">
        <v>29</v>
      </c>
      <c r="C4" s="11" t="s">
        <v>26</v>
      </c>
      <c r="D4" s="11" t="s">
        <v>27</v>
      </c>
      <c r="E4" s="12">
        <v>0.71</v>
      </c>
      <c r="F4" s="12">
        <v>0.94</v>
      </c>
      <c r="G4" s="12">
        <v>0.71</v>
      </c>
      <c r="H4" s="12">
        <v>0.71</v>
      </c>
    </row>
    <row r="5" spans="1:8" ht="15" customHeight="1" x14ac:dyDescent="0.45">
      <c r="A5" s="11" t="s">
        <v>30</v>
      </c>
      <c r="B5" s="11" t="s">
        <v>25</v>
      </c>
      <c r="C5" s="11" t="s">
        <v>26</v>
      </c>
      <c r="D5" s="11" t="s">
        <v>27</v>
      </c>
      <c r="E5" s="12">
        <v>0.49</v>
      </c>
      <c r="F5" s="12">
        <v>0.78</v>
      </c>
      <c r="G5" s="12">
        <v>0.71</v>
      </c>
      <c r="H5" s="12">
        <v>0.88</v>
      </c>
    </row>
    <row r="6" spans="1:8" ht="15" customHeight="1" x14ac:dyDescent="0.45">
      <c r="A6" s="11" t="s">
        <v>30</v>
      </c>
      <c r="B6" s="11" t="s">
        <v>28</v>
      </c>
      <c r="C6" s="11" t="s">
        <v>26</v>
      </c>
      <c r="D6" s="11" t="s">
        <v>27</v>
      </c>
      <c r="E6" s="12">
        <v>0.48</v>
      </c>
      <c r="F6" s="12">
        <v>0.71</v>
      </c>
      <c r="G6" s="12">
        <v>0.78</v>
      </c>
      <c r="H6" s="12">
        <v>0.77</v>
      </c>
    </row>
    <row r="7" spans="1:8" ht="15" customHeight="1" x14ac:dyDescent="0.45">
      <c r="A7" s="11" t="s">
        <v>30</v>
      </c>
      <c r="B7" s="11" t="s">
        <v>29</v>
      </c>
      <c r="C7" s="11" t="s">
        <v>26</v>
      </c>
      <c r="D7" s="11" t="s">
        <v>27</v>
      </c>
      <c r="E7" s="12">
        <v>0.53</v>
      </c>
      <c r="F7" s="12">
        <v>0.77</v>
      </c>
      <c r="G7" s="12">
        <v>0.82</v>
      </c>
      <c r="H7" s="12">
        <v>0.71</v>
      </c>
    </row>
    <row r="8" spans="1:8" ht="15" customHeight="1" x14ac:dyDescent="0.45">
      <c r="A8" s="11" t="s">
        <v>31</v>
      </c>
      <c r="B8" s="11" t="s">
        <v>25</v>
      </c>
      <c r="C8" s="11" t="s">
        <v>26</v>
      </c>
      <c r="D8" s="11" t="s">
        <v>27</v>
      </c>
      <c r="E8" s="12">
        <v>0.65</v>
      </c>
      <c r="F8" s="12">
        <v>1</v>
      </c>
      <c r="G8" s="12">
        <v>1</v>
      </c>
      <c r="H8" s="12">
        <v>0.89</v>
      </c>
    </row>
    <row r="9" spans="1:8" ht="15" customHeight="1" x14ac:dyDescent="0.45">
      <c r="A9" s="11" t="s">
        <v>31</v>
      </c>
      <c r="B9" s="11" t="s">
        <v>28</v>
      </c>
      <c r="C9" s="11" t="s">
        <v>26</v>
      </c>
      <c r="D9" s="11" t="s">
        <v>27</v>
      </c>
      <c r="E9" s="12">
        <v>0.71</v>
      </c>
      <c r="F9" s="12">
        <v>0.95</v>
      </c>
      <c r="G9" s="12">
        <v>1</v>
      </c>
      <c r="H9" s="12">
        <v>1</v>
      </c>
    </row>
    <row r="10" spans="1:8" ht="15" customHeight="1" x14ac:dyDescent="0.45">
      <c r="A10" s="11" t="s">
        <v>31</v>
      </c>
      <c r="B10" s="11" t="s">
        <v>29</v>
      </c>
      <c r="C10" s="11" t="s">
        <v>26</v>
      </c>
      <c r="D10" s="11" t="s">
        <v>27</v>
      </c>
      <c r="E10" s="12">
        <v>0.77</v>
      </c>
      <c r="F10" s="12">
        <v>1</v>
      </c>
      <c r="G10" s="12">
        <v>1</v>
      </c>
      <c r="H10" s="12">
        <v>1</v>
      </c>
    </row>
    <row r="11" spans="1:8" ht="15" customHeight="1" x14ac:dyDescent="0.45">
      <c r="A11" s="11" t="s">
        <v>24</v>
      </c>
      <c r="B11" s="11" t="s">
        <v>25</v>
      </c>
      <c r="C11" s="11" t="s">
        <v>26</v>
      </c>
      <c r="D11" s="11" t="s">
        <v>32</v>
      </c>
      <c r="E11" s="12">
        <v>0.78</v>
      </c>
      <c r="F11" s="12">
        <v>0.89</v>
      </c>
      <c r="G11" s="12">
        <v>0.78</v>
      </c>
      <c r="H11" s="12">
        <v>0.95</v>
      </c>
    </row>
    <row r="12" spans="1:8" ht="15" customHeight="1" x14ac:dyDescent="0.45">
      <c r="A12" s="11" t="s">
        <v>24</v>
      </c>
      <c r="B12" s="11" t="s">
        <v>28</v>
      </c>
      <c r="C12" s="11" t="s">
        <v>26</v>
      </c>
      <c r="D12" s="11" t="s">
        <v>32</v>
      </c>
      <c r="E12" s="12">
        <v>0.89</v>
      </c>
      <c r="F12" s="12">
        <v>0.95</v>
      </c>
      <c r="G12" s="12">
        <v>0.84</v>
      </c>
      <c r="H12" s="12">
        <v>0.95</v>
      </c>
    </row>
    <row r="13" spans="1:8" ht="15" customHeight="1" x14ac:dyDescent="0.45">
      <c r="A13" s="11" t="s">
        <v>24</v>
      </c>
      <c r="B13" s="11" t="s">
        <v>29</v>
      </c>
      <c r="C13" s="11" t="s">
        <v>26</v>
      </c>
      <c r="D13" s="11" t="s">
        <v>32</v>
      </c>
      <c r="E13" s="12">
        <v>0.89</v>
      </c>
      <c r="F13" s="12">
        <v>0.89</v>
      </c>
      <c r="G13" s="12">
        <v>0.95</v>
      </c>
      <c r="H13" s="12">
        <v>0.78</v>
      </c>
    </row>
    <row r="14" spans="1:8" ht="15" customHeight="1" x14ac:dyDescent="0.45">
      <c r="A14" s="11" t="s">
        <v>30</v>
      </c>
      <c r="B14" s="11" t="s">
        <v>25</v>
      </c>
      <c r="C14" s="11" t="s">
        <v>26</v>
      </c>
      <c r="D14" s="11" t="s">
        <v>32</v>
      </c>
      <c r="E14" s="12">
        <v>0.6</v>
      </c>
      <c r="F14" s="12">
        <v>0.89</v>
      </c>
      <c r="G14" s="12">
        <v>0.78</v>
      </c>
      <c r="H14" s="12">
        <v>0.89</v>
      </c>
    </row>
    <row r="15" spans="1:8" ht="15" customHeight="1" x14ac:dyDescent="0.45">
      <c r="A15" s="11" t="s">
        <v>30</v>
      </c>
      <c r="B15" s="11" t="s">
        <v>28</v>
      </c>
      <c r="C15" s="11" t="s">
        <v>26</v>
      </c>
      <c r="D15" s="11" t="s">
        <v>32</v>
      </c>
      <c r="E15" s="12">
        <v>0.66</v>
      </c>
      <c r="F15" s="12">
        <v>0.84</v>
      </c>
      <c r="G15" s="12">
        <v>0.89</v>
      </c>
      <c r="H15" s="12">
        <v>0.89</v>
      </c>
    </row>
    <row r="16" spans="1:8" ht="15" customHeight="1" x14ac:dyDescent="0.45">
      <c r="A16" s="11" t="s">
        <v>30</v>
      </c>
      <c r="B16" s="11" t="s">
        <v>29</v>
      </c>
      <c r="C16" s="11" t="s">
        <v>26</v>
      </c>
      <c r="D16" s="11" t="s">
        <v>32</v>
      </c>
      <c r="E16" s="12">
        <v>0.72</v>
      </c>
      <c r="F16" s="12">
        <v>0.89</v>
      </c>
      <c r="G16" s="12">
        <v>0.84</v>
      </c>
      <c r="H16" s="12">
        <v>0.89</v>
      </c>
    </row>
    <row r="17" spans="1:8" ht="15" customHeight="1" x14ac:dyDescent="0.45">
      <c r="A17" s="11" t="s">
        <v>31</v>
      </c>
      <c r="B17" s="11" t="s">
        <v>25</v>
      </c>
      <c r="C17" s="11" t="s">
        <v>26</v>
      </c>
      <c r="D17" s="11" t="s">
        <v>32</v>
      </c>
      <c r="E17" s="12">
        <v>0.89</v>
      </c>
      <c r="F17" s="12">
        <v>0.89</v>
      </c>
      <c r="G17" s="12">
        <v>0.89</v>
      </c>
      <c r="H17" s="12">
        <v>0.89</v>
      </c>
    </row>
    <row r="18" spans="1:8" ht="15" customHeight="1" x14ac:dyDescent="0.45">
      <c r="A18" s="11" t="s">
        <v>31</v>
      </c>
      <c r="B18" s="11" t="s">
        <v>28</v>
      </c>
      <c r="C18" s="11" t="s">
        <v>26</v>
      </c>
      <c r="D18" s="11" t="s">
        <v>32</v>
      </c>
      <c r="E18" s="12">
        <v>0.89</v>
      </c>
      <c r="F18" s="12">
        <v>0.89</v>
      </c>
      <c r="G18" s="12">
        <v>0.78</v>
      </c>
      <c r="H18" s="12">
        <v>0.95</v>
      </c>
    </row>
    <row r="19" spans="1:8" ht="15" customHeight="1" x14ac:dyDescent="0.45">
      <c r="A19" s="11" t="s">
        <v>31</v>
      </c>
      <c r="B19" s="11" t="s">
        <v>29</v>
      </c>
      <c r="C19" s="11" t="s">
        <v>26</v>
      </c>
      <c r="D19" s="11" t="s">
        <v>32</v>
      </c>
      <c r="E19" s="12">
        <v>0.89</v>
      </c>
      <c r="F19" s="12">
        <v>0.89</v>
      </c>
      <c r="G19" s="12">
        <v>0.89</v>
      </c>
      <c r="H19" s="12">
        <v>0.89</v>
      </c>
    </row>
    <row r="20" spans="1:8" ht="15" customHeight="1" x14ac:dyDescent="0.45">
      <c r="A20" s="11" t="s">
        <v>24</v>
      </c>
      <c r="B20" s="11" t="s">
        <v>25</v>
      </c>
      <c r="C20" s="11" t="s">
        <v>26</v>
      </c>
      <c r="D20" s="11" t="s">
        <v>33</v>
      </c>
      <c r="E20" s="12">
        <v>0.88</v>
      </c>
      <c r="F20" s="12">
        <v>1</v>
      </c>
      <c r="G20" s="12">
        <v>1</v>
      </c>
      <c r="H20" s="12">
        <v>1</v>
      </c>
    </row>
    <row r="21" spans="1:8" ht="15" customHeight="1" x14ac:dyDescent="0.45">
      <c r="A21" s="11" t="s">
        <v>24</v>
      </c>
      <c r="B21" s="11" t="s">
        <v>28</v>
      </c>
      <c r="C21" s="11" t="s">
        <v>26</v>
      </c>
      <c r="D21" s="11" t="s">
        <v>33</v>
      </c>
      <c r="E21" s="12">
        <v>0.88</v>
      </c>
      <c r="F21" s="12">
        <v>1</v>
      </c>
      <c r="G21" s="12">
        <v>1</v>
      </c>
      <c r="H21" s="12">
        <v>1</v>
      </c>
    </row>
    <row r="22" spans="1:8" ht="15" customHeight="1" x14ac:dyDescent="0.45">
      <c r="A22" s="11" t="s">
        <v>24</v>
      </c>
      <c r="B22" s="11" t="s">
        <v>29</v>
      </c>
      <c r="C22" s="11" t="s">
        <v>26</v>
      </c>
      <c r="D22" s="11" t="s">
        <v>33</v>
      </c>
      <c r="E22" s="12">
        <v>0.88</v>
      </c>
      <c r="F22" s="12">
        <v>1</v>
      </c>
      <c r="G22" s="12">
        <v>1</v>
      </c>
      <c r="H22" s="12">
        <v>1</v>
      </c>
    </row>
    <row r="23" spans="1:8" ht="15" customHeight="1" x14ac:dyDescent="0.45">
      <c r="A23" s="11" t="s">
        <v>30</v>
      </c>
      <c r="B23" s="11" t="s">
        <v>25</v>
      </c>
      <c r="C23" s="11" t="s">
        <v>26</v>
      </c>
      <c r="D23" s="11" t="s">
        <v>33</v>
      </c>
      <c r="E23" s="12">
        <v>0.59</v>
      </c>
      <c r="F23" s="12">
        <v>1</v>
      </c>
      <c r="G23" s="12">
        <v>1</v>
      </c>
      <c r="H23" s="12">
        <v>1</v>
      </c>
    </row>
    <row r="24" spans="1:8" ht="15" customHeight="1" x14ac:dyDescent="0.45">
      <c r="A24" s="11" t="s">
        <v>30</v>
      </c>
      <c r="B24" s="11" t="s">
        <v>28</v>
      </c>
      <c r="C24" s="11" t="s">
        <v>26</v>
      </c>
      <c r="D24" s="11" t="s">
        <v>33</v>
      </c>
      <c r="E24" s="12">
        <v>0.65</v>
      </c>
      <c r="F24" s="12">
        <v>1</v>
      </c>
      <c r="G24" s="12">
        <v>1</v>
      </c>
      <c r="H24" s="12">
        <v>1</v>
      </c>
    </row>
    <row r="25" spans="1:8" ht="15" customHeight="1" x14ac:dyDescent="0.45">
      <c r="A25" s="11" t="s">
        <v>30</v>
      </c>
      <c r="B25" s="11" t="s">
        <v>29</v>
      </c>
      <c r="C25" s="11" t="s">
        <v>26</v>
      </c>
      <c r="D25" s="11" t="s">
        <v>33</v>
      </c>
      <c r="E25" s="12">
        <v>0.65</v>
      </c>
      <c r="F25" s="12">
        <v>1</v>
      </c>
      <c r="G25" s="12">
        <v>1</v>
      </c>
      <c r="H25" s="12">
        <v>1</v>
      </c>
    </row>
    <row r="26" spans="1:8" ht="15" customHeight="1" x14ac:dyDescent="0.45">
      <c r="A26" s="11" t="s">
        <v>31</v>
      </c>
      <c r="B26" s="11" t="s">
        <v>25</v>
      </c>
      <c r="C26" s="11" t="s">
        <v>26</v>
      </c>
      <c r="D26" s="11" t="s">
        <v>33</v>
      </c>
      <c r="E26" s="12">
        <v>0.94</v>
      </c>
      <c r="F26" s="12">
        <v>0.94</v>
      </c>
      <c r="G26" s="12">
        <v>0.94</v>
      </c>
      <c r="H26" s="12">
        <v>0.94</v>
      </c>
    </row>
    <row r="27" spans="1:8" ht="15" customHeight="1" x14ac:dyDescent="0.45">
      <c r="A27" s="11" t="s">
        <v>31</v>
      </c>
      <c r="B27" s="11" t="s">
        <v>28</v>
      </c>
      <c r="C27" s="11" t="s">
        <v>26</v>
      </c>
      <c r="D27" s="11" t="s">
        <v>33</v>
      </c>
      <c r="E27" s="12">
        <v>0.94</v>
      </c>
      <c r="F27" s="12">
        <v>0.94</v>
      </c>
      <c r="G27" s="12">
        <v>0.94</v>
      </c>
      <c r="H27" s="12">
        <v>0.94</v>
      </c>
    </row>
    <row r="28" spans="1:8" ht="15" customHeight="1" x14ac:dyDescent="0.45">
      <c r="A28" s="11" t="s">
        <v>31</v>
      </c>
      <c r="B28" s="11" t="s">
        <v>29</v>
      </c>
      <c r="C28" s="11" t="s">
        <v>26</v>
      </c>
      <c r="D28" s="11" t="s">
        <v>33</v>
      </c>
      <c r="E28" s="12">
        <v>0.94</v>
      </c>
      <c r="F28" s="12">
        <v>0.94</v>
      </c>
      <c r="G28" s="12">
        <v>0.94</v>
      </c>
      <c r="H28" s="12">
        <v>0.94</v>
      </c>
    </row>
    <row r="29" spans="1:8" ht="15" customHeight="1" x14ac:dyDescent="0.45">
      <c r="A29" s="11" t="s">
        <v>24</v>
      </c>
      <c r="B29" s="11" t="s">
        <v>25</v>
      </c>
      <c r="C29" s="11" t="s">
        <v>26</v>
      </c>
      <c r="D29" s="11" t="s">
        <v>34</v>
      </c>
      <c r="E29" s="12">
        <v>0.76</v>
      </c>
      <c r="F29" s="12">
        <v>0.89</v>
      </c>
      <c r="G29" s="12">
        <v>0.89</v>
      </c>
      <c r="H29" s="12">
        <v>0.86</v>
      </c>
    </row>
    <row r="30" spans="1:8" ht="15" customHeight="1" x14ac:dyDescent="0.45">
      <c r="A30" s="11" t="s">
        <v>24</v>
      </c>
      <c r="B30" s="11" t="s">
        <v>28</v>
      </c>
      <c r="C30" s="11" t="s">
        <v>26</v>
      </c>
      <c r="D30" s="11" t="s">
        <v>34</v>
      </c>
      <c r="E30" s="12">
        <v>0.76</v>
      </c>
      <c r="F30" s="12">
        <v>0.95</v>
      </c>
      <c r="G30" s="12">
        <v>0.89</v>
      </c>
      <c r="H30" s="12">
        <v>0.97</v>
      </c>
    </row>
    <row r="31" spans="1:8" ht="15" customHeight="1" x14ac:dyDescent="0.45">
      <c r="A31" s="11" t="s">
        <v>24</v>
      </c>
      <c r="B31" s="11" t="s">
        <v>29</v>
      </c>
      <c r="C31" s="11" t="s">
        <v>26</v>
      </c>
      <c r="D31" s="11" t="s">
        <v>34</v>
      </c>
      <c r="E31" s="12">
        <v>0.82</v>
      </c>
      <c r="F31" s="12">
        <v>0.82</v>
      </c>
      <c r="G31" s="12">
        <v>0.85</v>
      </c>
      <c r="H31" s="12">
        <v>0.81</v>
      </c>
    </row>
    <row r="32" spans="1:8" ht="15" customHeight="1" x14ac:dyDescent="0.45">
      <c r="A32" s="11" t="s">
        <v>30</v>
      </c>
      <c r="B32" s="11" t="s">
        <v>25</v>
      </c>
      <c r="C32" s="11" t="s">
        <v>26</v>
      </c>
      <c r="D32" s="11" t="s">
        <v>34</v>
      </c>
      <c r="E32" s="12">
        <v>0.67</v>
      </c>
      <c r="F32" s="12">
        <v>0.84</v>
      </c>
      <c r="G32" s="12">
        <v>0.81</v>
      </c>
      <c r="H32" s="12">
        <v>0.86</v>
      </c>
    </row>
    <row r="33" spans="1:8" ht="15" customHeight="1" x14ac:dyDescent="0.45">
      <c r="A33" s="11" t="s">
        <v>30</v>
      </c>
      <c r="B33" s="11" t="s">
        <v>28</v>
      </c>
      <c r="C33" s="11" t="s">
        <v>26</v>
      </c>
      <c r="D33" s="11" t="s">
        <v>34</v>
      </c>
      <c r="E33" s="12">
        <v>0.33</v>
      </c>
      <c r="F33" s="12">
        <v>0.5</v>
      </c>
      <c r="G33" s="12">
        <v>0.5</v>
      </c>
      <c r="H33" s="12">
        <v>0.5</v>
      </c>
    </row>
    <row r="34" spans="1:8" ht="15" customHeight="1" x14ac:dyDescent="0.45">
      <c r="A34" s="11" t="s">
        <v>30</v>
      </c>
      <c r="B34" s="11" t="s">
        <v>29</v>
      </c>
      <c r="C34" s="11" t="s">
        <v>26</v>
      </c>
      <c r="D34" s="11" t="s">
        <v>34</v>
      </c>
      <c r="E34" s="12">
        <v>0.56000000000000005</v>
      </c>
      <c r="F34" s="12">
        <v>0.65</v>
      </c>
      <c r="G34" s="12">
        <v>0.49</v>
      </c>
      <c r="H34" s="12">
        <v>0.86</v>
      </c>
    </row>
    <row r="35" spans="1:8" ht="15" customHeight="1" x14ac:dyDescent="0.45">
      <c r="A35" s="11" t="s">
        <v>31</v>
      </c>
      <c r="B35" s="11" t="s">
        <v>25</v>
      </c>
      <c r="C35" s="11" t="s">
        <v>26</v>
      </c>
      <c r="D35" s="11" t="s">
        <v>34</v>
      </c>
      <c r="E35" s="12">
        <v>0.89</v>
      </c>
      <c r="F35" s="12">
        <v>0.95</v>
      </c>
      <c r="G35" s="12">
        <v>0.95</v>
      </c>
      <c r="H35" s="12">
        <v>0.92</v>
      </c>
    </row>
    <row r="36" spans="1:8" ht="15" customHeight="1" x14ac:dyDescent="0.45">
      <c r="A36" s="11" t="s">
        <v>31</v>
      </c>
      <c r="B36" s="11" t="s">
        <v>28</v>
      </c>
      <c r="C36" s="11" t="s">
        <v>26</v>
      </c>
      <c r="D36" s="11" t="s">
        <v>34</v>
      </c>
      <c r="E36" s="12">
        <v>0.89</v>
      </c>
      <c r="F36" s="12">
        <v>0.89</v>
      </c>
      <c r="G36" s="12">
        <v>0.84</v>
      </c>
      <c r="H36" s="12">
        <v>0.97</v>
      </c>
    </row>
    <row r="37" spans="1:8" ht="15" customHeight="1" x14ac:dyDescent="0.45">
      <c r="A37" s="11" t="s">
        <v>31</v>
      </c>
      <c r="B37" s="11" t="s">
        <v>29</v>
      </c>
      <c r="C37" s="11" t="s">
        <v>26</v>
      </c>
      <c r="D37" s="11" t="s">
        <v>34</v>
      </c>
      <c r="E37" s="12">
        <v>0.86</v>
      </c>
      <c r="F37" s="12">
        <v>0.89</v>
      </c>
      <c r="G37" s="12">
        <v>0.83</v>
      </c>
      <c r="H37" s="12">
        <v>0.95</v>
      </c>
    </row>
    <row r="38" spans="1:8" ht="15" customHeight="1" x14ac:dyDescent="0.45">
      <c r="A38" s="11" t="s">
        <v>24</v>
      </c>
      <c r="B38" s="11" t="s">
        <v>25</v>
      </c>
      <c r="C38" s="11" t="s">
        <v>26</v>
      </c>
      <c r="D38" s="11" t="s">
        <v>35</v>
      </c>
      <c r="E38" s="12">
        <v>0.91</v>
      </c>
      <c r="F38" s="12">
        <v>0.85</v>
      </c>
      <c r="G38" s="12">
        <v>0.86</v>
      </c>
      <c r="H38" s="12">
        <v>0.92</v>
      </c>
    </row>
    <row r="39" spans="1:8" ht="15" customHeight="1" x14ac:dyDescent="0.45">
      <c r="A39" s="11" t="s">
        <v>24</v>
      </c>
      <c r="B39" s="11" t="s">
        <v>28</v>
      </c>
      <c r="C39" s="11" t="s">
        <v>26</v>
      </c>
      <c r="D39" s="11" t="s">
        <v>35</v>
      </c>
      <c r="E39" s="12">
        <v>0.9</v>
      </c>
      <c r="F39" s="12">
        <v>0.9</v>
      </c>
      <c r="G39" s="12">
        <v>0.91</v>
      </c>
      <c r="H39" s="12">
        <v>0.97</v>
      </c>
    </row>
    <row r="40" spans="1:8" ht="15" customHeight="1" x14ac:dyDescent="0.45">
      <c r="A40" s="11" t="s">
        <v>24</v>
      </c>
      <c r="B40" s="11" t="s">
        <v>29</v>
      </c>
      <c r="C40" s="11" t="s">
        <v>26</v>
      </c>
      <c r="D40" s="11" t="s">
        <v>35</v>
      </c>
      <c r="E40" s="12">
        <v>0.82</v>
      </c>
      <c r="F40" s="12">
        <v>0.91</v>
      </c>
      <c r="G40" s="12">
        <v>0.88</v>
      </c>
      <c r="H40" s="12">
        <v>0.9</v>
      </c>
    </row>
    <row r="41" spans="1:8" ht="15" customHeight="1" x14ac:dyDescent="0.45">
      <c r="A41" s="11" t="s">
        <v>30</v>
      </c>
      <c r="B41" s="11" t="s">
        <v>25</v>
      </c>
      <c r="C41" s="11" t="s">
        <v>26</v>
      </c>
      <c r="D41" s="11" t="s">
        <v>35</v>
      </c>
      <c r="E41" s="12">
        <v>0.91</v>
      </c>
      <c r="F41" s="12">
        <v>0.82</v>
      </c>
      <c r="G41" s="12">
        <v>0.88</v>
      </c>
      <c r="H41" s="12">
        <v>0.9</v>
      </c>
    </row>
    <row r="42" spans="1:8" ht="15" customHeight="1" x14ac:dyDescent="0.45">
      <c r="A42" s="11" t="s">
        <v>30</v>
      </c>
      <c r="B42" s="11" t="s">
        <v>28</v>
      </c>
      <c r="C42" s="11" t="s">
        <v>26</v>
      </c>
      <c r="D42" s="11" t="s">
        <v>35</v>
      </c>
      <c r="E42" s="12">
        <v>0.15</v>
      </c>
      <c r="F42" s="12">
        <v>0.22</v>
      </c>
      <c r="G42" s="12">
        <v>0.22</v>
      </c>
      <c r="H42" s="12">
        <v>0.22</v>
      </c>
    </row>
    <row r="43" spans="1:8" ht="15" customHeight="1" x14ac:dyDescent="0.45">
      <c r="A43" s="11" t="s">
        <v>30</v>
      </c>
      <c r="B43" s="11" t="s">
        <v>29</v>
      </c>
      <c r="C43" s="11" t="s">
        <v>26</v>
      </c>
      <c r="D43" s="11" t="s">
        <v>35</v>
      </c>
      <c r="E43" s="12">
        <v>0.65</v>
      </c>
      <c r="F43" s="12">
        <v>0.92</v>
      </c>
      <c r="G43" s="12">
        <v>0.92</v>
      </c>
      <c r="H43" s="12">
        <v>0.92</v>
      </c>
    </row>
    <row r="44" spans="1:8" ht="15" customHeight="1" x14ac:dyDescent="0.45">
      <c r="A44" s="11" t="s">
        <v>31</v>
      </c>
      <c r="B44" s="11" t="s">
        <v>25</v>
      </c>
      <c r="C44" s="11" t="s">
        <v>26</v>
      </c>
      <c r="D44" s="11" t="s">
        <v>35</v>
      </c>
      <c r="E44" s="12">
        <v>0.94</v>
      </c>
      <c r="F44" s="12">
        <v>0.95</v>
      </c>
      <c r="G44" s="12">
        <v>0.97</v>
      </c>
      <c r="H44" s="12">
        <v>0.97</v>
      </c>
    </row>
    <row r="45" spans="1:8" ht="15" customHeight="1" x14ac:dyDescent="0.45">
      <c r="A45" s="11" t="s">
        <v>31</v>
      </c>
      <c r="B45" s="11" t="s">
        <v>28</v>
      </c>
      <c r="C45" s="11" t="s">
        <v>26</v>
      </c>
      <c r="D45" s="11" t="s">
        <v>35</v>
      </c>
      <c r="E45" s="12">
        <v>0.9</v>
      </c>
      <c r="F45" s="12">
        <v>0.94</v>
      </c>
      <c r="G45" s="12">
        <v>0.91</v>
      </c>
      <c r="H45" s="12">
        <v>0.97</v>
      </c>
    </row>
    <row r="46" spans="1:8" ht="15" customHeight="1" x14ac:dyDescent="0.45">
      <c r="A46" s="11" t="s">
        <v>31</v>
      </c>
      <c r="B46" s="11" t="s">
        <v>29</v>
      </c>
      <c r="C46" s="11" t="s">
        <v>26</v>
      </c>
      <c r="D46" s="11" t="s">
        <v>35</v>
      </c>
      <c r="E46" s="12">
        <v>0.88</v>
      </c>
      <c r="F46" s="12">
        <v>1</v>
      </c>
      <c r="G46" s="12">
        <v>1</v>
      </c>
      <c r="H46" s="12">
        <v>1</v>
      </c>
    </row>
    <row r="47" spans="1:8" ht="15" customHeight="1" x14ac:dyDescent="0.45">
      <c r="A47" s="11" t="s">
        <v>24</v>
      </c>
      <c r="B47" s="11" t="s">
        <v>25</v>
      </c>
      <c r="C47" s="11" t="s">
        <v>26</v>
      </c>
      <c r="D47" s="11" t="s">
        <v>36</v>
      </c>
      <c r="E47" s="12">
        <v>0.64</v>
      </c>
      <c r="F47" s="12">
        <v>0.86</v>
      </c>
      <c r="G47" s="12">
        <v>0.94</v>
      </c>
      <c r="H47" s="12">
        <v>0.92</v>
      </c>
    </row>
    <row r="48" spans="1:8" ht="15" customHeight="1" x14ac:dyDescent="0.45">
      <c r="A48" s="11" t="s">
        <v>24</v>
      </c>
      <c r="B48" s="11" t="s">
        <v>28</v>
      </c>
      <c r="C48" s="11" t="s">
        <v>26</v>
      </c>
      <c r="D48" s="11" t="s">
        <v>36</v>
      </c>
      <c r="E48" s="12">
        <v>0.64</v>
      </c>
      <c r="F48" s="12">
        <v>0.91</v>
      </c>
      <c r="G48" s="12">
        <v>0.83</v>
      </c>
      <c r="H48" s="12">
        <v>0.89</v>
      </c>
    </row>
    <row r="49" spans="1:8" ht="15" customHeight="1" x14ac:dyDescent="0.45">
      <c r="A49" s="11" t="s">
        <v>24</v>
      </c>
      <c r="B49" s="11" t="s">
        <v>29</v>
      </c>
      <c r="C49" s="11" t="s">
        <v>26</v>
      </c>
      <c r="D49" s="11" t="s">
        <v>36</v>
      </c>
      <c r="E49" s="12">
        <v>0.61</v>
      </c>
      <c r="F49" s="12">
        <v>0.67</v>
      </c>
      <c r="G49" s="12">
        <v>0.34</v>
      </c>
      <c r="H49" s="12">
        <v>0.7</v>
      </c>
    </row>
    <row r="50" spans="1:8" ht="15" customHeight="1" x14ac:dyDescent="0.45">
      <c r="A50" s="11" t="s">
        <v>30</v>
      </c>
      <c r="B50" s="11" t="s">
        <v>25</v>
      </c>
      <c r="C50" s="11" t="s">
        <v>26</v>
      </c>
      <c r="D50" s="11" t="s">
        <v>36</v>
      </c>
      <c r="E50" s="12">
        <v>0.49</v>
      </c>
      <c r="F50" s="12">
        <v>0.83</v>
      </c>
      <c r="G50" s="12">
        <v>0.8</v>
      </c>
      <c r="H50" s="12">
        <v>0.86</v>
      </c>
    </row>
    <row r="51" spans="1:8" ht="15" customHeight="1" x14ac:dyDescent="0.45">
      <c r="A51" s="11" t="s">
        <v>30</v>
      </c>
      <c r="B51" s="11" t="s">
        <v>28</v>
      </c>
      <c r="C51" s="11" t="s">
        <v>26</v>
      </c>
      <c r="D51" s="11" t="s">
        <v>36</v>
      </c>
      <c r="E51" s="12">
        <v>0.16</v>
      </c>
      <c r="F51" s="12">
        <v>0.19</v>
      </c>
      <c r="G51" s="12">
        <v>0.19</v>
      </c>
      <c r="H51" s="12">
        <v>0.19</v>
      </c>
    </row>
    <row r="52" spans="1:8" ht="15" customHeight="1" x14ac:dyDescent="0.45">
      <c r="A52" s="11" t="s">
        <v>30</v>
      </c>
      <c r="B52" s="11" t="s">
        <v>29</v>
      </c>
      <c r="C52" s="11" t="s">
        <v>26</v>
      </c>
      <c r="D52" s="11" t="s">
        <v>36</v>
      </c>
      <c r="E52" s="12">
        <v>0.34</v>
      </c>
      <c r="F52" s="12">
        <v>0.38</v>
      </c>
      <c r="G52" s="12">
        <v>0.38</v>
      </c>
      <c r="H52" s="12">
        <v>0.67</v>
      </c>
    </row>
    <row r="53" spans="1:8" ht="15" customHeight="1" x14ac:dyDescent="0.45">
      <c r="A53" s="11" t="s">
        <v>31</v>
      </c>
      <c r="B53" s="11" t="s">
        <v>25</v>
      </c>
      <c r="C53" s="11" t="s">
        <v>26</v>
      </c>
      <c r="D53" s="11" t="s">
        <v>36</v>
      </c>
      <c r="E53" s="12">
        <v>0.16</v>
      </c>
      <c r="F53" s="12">
        <v>0.22</v>
      </c>
      <c r="G53" s="12">
        <v>0.25</v>
      </c>
      <c r="H53" s="12">
        <v>0.22</v>
      </c>
    </row>
    <row r="54" spans="1:8" ht="15" customHeight="1" x14ac:dyDescent="0.45">
      <c r="A54" s="11" t="s">
        <v>31</v>
      </c>
      <c r="B54" s="11" t="s">
        <v>28</v>
      </c>
      <c r="C54" s="11" t="s">
        <v>26</v>
      </c>
      <c r="D54" s="11" t="s">
        <v>36</v>
      </c>
      <c r="E54" s="12">
        <v>0.88</v>
      </c>
      <c r="F54" s="12">
        <v>1</v>
      </c>
      <c r="G54" s="12">
        <v>1</v>
      </c>
      <c r="H54" s="12">
        <v>1</v>
      </c>
    </row>
    <row r="55" spans="1:8" ht="15" customHeight="1" x14ac:dyDescent="0.45">
      <c r="A55" s="11" t="s">
        <v>31</v>
      </c>
      <c r="B55" s="11" t="s">
        <v>29</v>
      </c>
      <c r="C55" s="11" t="s">
        <v>26</v>
      </c>
      <c r="D55" s="11" t="s">
        <v>36</v>
      </c>
      <c r="E55" s="12">
        <v>0.88</v>
      </c>
      <c r="F55" s="12">
        <v>1</v>
      </c>
      <c r="G55" s="12">
        <v>1</v>
      </c>
      <c r="H55" s="12">
        <v>1</v>
      </c>
    </row>
    <row r="56" spans="1:8" ht="15" customHeight="1" x14ac:dyDescent="0.45">
      <c r="A56" s="11" t="s">
        <v>24</v>
      </c>
      <c r="B56" s="11" t="s">
        <v>25</v>
      </c>
      <c r="C56" s="11" t="s">
        <v>26</v>
      </c>
      <c r="D56" s="11" t="s">
        <v>37</v>
      </c>
      <c r="E56" s="12">
        <v>0.84</v>
      </c>
      <c r="F56" s="12">
        <v>0.9</v>
      </c>
      <c r="G56" s="12">
        <v>0.93</v>
      </c>
      <c r="H56" s="12">
        <v>0.99</v>
      </c>
    </row>
    <row r="57" spans="1:8" ht="15" customHeight="1" x14ac:dyDescent="0.45">
      <c r="A57" s="11" t="s">
        <v>24</v>
      </c>
      <c r="B57" s="11" t="s">
        <v>28</v>
      </c>
      <c r="C57" s="11" t="s">
        <v>26</v>
      </c>
      <c r="D57" s="11" t="s">
        <v>37</v>
      </c>
      <c r="E57" s="12">
        <v>0.88</v>
      </c>
      <c r="F57" s="12">
        <v>0.95</v>
      </c>
      <c r="G57" s="12">
        <v>0.94</v>
      </c>
      <c r="H57" s="12">
        <v>0.97</v>
      </c>
    </row>
    <row r="58" spans="1:8" ht="15" customHeight="1" x14ac:dyDescent="0.45">
      <c r="A58" s="11" t="s">
        <v>24</v>
      </c>
      <c r="B58" s="11" t="s">
        <v>29</v>
      </c>
      <c r="C58" s="11" t="s">
        <v>26</v>
      </c>
      <c r="D58" s="11" t="s">
        <v>37</v>
      </c>
      <c r="E58" s="12">
        <v>0.86</v>
      </c>
      <c r="F58" s="12">
        <v>0.96</v>
      </c>
      <c r="G58" s="12">
        <v>0.9</v>
      </c>
      <c r="H58" s="12">
        <v>0.9</v>
      </c>
    </row>
    <row r="59" spans="1:8" ht="15" customHeight="1" x14ac:dyDescent="0.45">
      <c r="A59" s="11" t="s">
        <v>30</v>
      </c>
      <c r="B59" s="11" t="s">
        <v>25</v>
      </c>
      <c r="C59" s="11" t="s">
        <v>26</v>
      </c>
      <c r="D59" s="11" t="s">
        <v>37</v>
      </c>
      <c r="E59" s="12">
        <v>0.19</v>
      </c>
      <c r="F59" s="12">
        <v>0.18</v>
      </c>
      <c r="G59" s="12">
        <v>0.09</v>
      </c>
      <c r="H59" s="12">
        <v>0.09</v>
      </c>
    </row>
    <row r="60" spans="1:8" ht="15" customHeight="1" x14ac:dyDescent="0.45">
      <c r="A60" s="11" t="s">
        <v>30</v>
      </c>
      <c r="B60" s="11" t="s">
        <v>28</v>
      </c>
      <c r="C60" s="11" t="s">
        <v>26</v>
      </c>
      <c r="D60" s="11" t="s">
        <v>37</v>
      </c>
      <c r="E60" s="12">
        <v>0.48</v>
      </c>
      <c r="F60" s="12">
        <v>0.54</v>
      </c>
      <c r="G60" s="12">
        <v>0.51</v>
      </c>
      <c r="H60" s="12">
        <v>0.53</v>
      </c>
    </row>
    <row r="61" spans="1:8" ht="15" customHeight="1" x14ac:dyDescent="0.45">
      <c r="A61" s="11" t="s">
        <v>30</v>
      </c>
      <c r="B61" s="11" t="s">
        <v>29</v>
      </c>
      <c r="C61" s="11" t="s">
        <v>26</v>
      </c>
      <c r="D61" s="11" t="s">
        <v>37</v>
      </c>
      <c r="E61" s="12">
        <v>0.09</v>
      </c>
      <c r="F61" s="12">
        <v>0.09</v>
      </c>
      <c r="G61" s="12">
        <v>0.09</v>
      </c>
      <c r="H61" s="12">
        <v>0.09</v>
      </c>
    </row>
    <row r="62" spans="1:8" ht="15" customHeight="1" x14ac:dyDescent="0.45">
      <c r="A62" s="11" t="s">
        <v>31</v>
      </c>
      <c r="B62" s="11" t="s">
        <v>25</v>
      </c>
      <c r="C62" s="11" t="s">
        <v>26</v>
      </c>
      <c r="D62" s="11" t="s">
        <v>37</v>
      </c>
      <c r="E62" s="12">
        <v>0.88</v>
      </c>
      <c r="F62" s="12">
        <v>1</v>
      </c>
      <c r="G62" s="12">
        <v>1</v>
      </c>
      <c r="H62" s="12">
        <v>1</v>
      </c>
    </row>
    <row r="63" spans="1:8" ht="15" customHeight="1" x14ac:dyDescent="0.45">
      <c r="A63" s="11" t="s">
        <v>31</v>
      </c>
      <c r="B63" s="11" t="s">
        <v>28</v>
      </c>
      <c r="C63" s="11" t="s">
        <v>26</v>
      </c>
      <c r="D63" s="11" t="s">
        <v>37</v>
      </c>
      <c r="E63" s="12">
        <v>0.88</v>
      </c>
      <c r="F63" s="12">
        <v>1</v>
      </c>
      <c r="G63" s="12">
        <v>1</v>
      </c>
      <c r="H63" s="12">
        <v>1</v>
      </c>
    </row>
    <row r="64" spans="1:8" ht="15" customHeight="1" x14ac:dyDescent="0.45">
      <c r="A64" s="11" t="s">
        <v>31</v>
      </c>
      <c r="B64" s="11" t="s">
        <v>29</v>
      </c>
      <c r="C64" s="11" t="s">
        <v>26</v>
      </c>
      <c r="D64" s="11" t="s">
        <v>37</v>
      </c>
      <c r="E64" s="12">
        <v>0.88</v>
      </c>
      <c r="F64" s="12">
        <v>1</v>
      </c>
      <c r="G64" s="12">
        <v>1</v>
      </c>
      <c r="H64" s="12">
        <v>1</v>
      </c>
    </row>
    <row r="65" spans="1:8" ht="15" customHeight="1" x14ac:dyDescent="0.45">
      <c r="A65" s="11" t="s">
        <v>24</v>
      </c>
      <c r="B65" s="11" t="s">
        <v>25</v>
      </c>
      <c r="C65" s="11" t="s">
        <v>38</v>
      </c>
      <c r="D65" s="11" t="s">
        <v>39</v>
      </c>
      <c r="E65" s="12">
        <v>0.8</v>
      </c>
      <c r="F65" s="12">
        <v>1</v>
      </c>
      <c r="G65" s="12">
        <v>0.96</v>
      </c>
      <c r="H65" s="12">
        <v>1</v>
      </c>
    </row>
    <row r="66" spans="1:8" ht="15" customHeight="1" x14ac:dyDescent="0.45">
      <c r="A66" s="11" t="s">
        <v>24</v>
      </c>
      <c r="B66" s="11" t="s">
        <v>28</v>
      </c>
      <c r="C66" s="11" t="s">
        <v>38</v>
      </c>
      <c r="D66" s="11" t="s">
        <v>39</v>
      </c>
      <c r="E66" s="12">
        <v>0.8</v>
      </c>
      <c r="F66" s="12">
        <v>1</v>
      </c>
      <c r="G66" s="12">
        <v>1</v>
      </c>
      <c r="H66" s="12">
        <v>0.96</v>
      </c>
    </row>
    <row r="67" spans="1:8" ht="15" customHeight="1" x14ac:dyDescent="0.45">
      <c r="A67" s="11" t="s">
        <v>24</v>
      </c>
      <c r="B67" s="11" t="s">
        <v>29</v>
      </c>
      <c r="C67" s="11" t="s">
        <v>38</v>
      </c>
      <c r="D67" s="11" t="s">
        <v>39</v>
      </c>
      <c r="E67" s="12">
        <v>0.8</v>
      </c>
      <c r="F67" s="12">
        <v>1</v>
      </c>
      <c r="G67" s="12">
        <v>1</v>
      </c>
      <c r="H67" s="12">
        <v>0.96</v>
      </c>
    </row>
    <row r="68" spans="1:8" ht="15" customHeight="1" x14ac:dyDescent="0.45">
      <c r="A68" s="11" t="s">
        <v>30</v>
      </c>
      <c r="B68" s="11" t="s">
        <v>25</v>
      </c>
      <c r="C68" s="11" t="s">
        <v>38</v>
      </c>
      <c r="D68" s="11" t="s">
        <v>39</v>
      </c>
      <c r="E68" s="12">
        <v>0.64</v>
      </c>
      <c r="F68" s="12">
        <v>1</v>
      </c>
      <c r="G68" s="12">
        <v>0.92</v>
      </c>
      <c r="H68" s="12">
        <v>1</v>
      </c>
    </row>
    <row r="69" spans="1:8" ht="15" customHeight="1" x14ac:dyDescent="0.45">
      <c r="A69" s="11" t="s">
        <v>30</v>
      </c>
      <c r="B69" s="11" t="s">
        <v>28</v>
      </c>
      <c r="C69" s="11" t="s">
        <v>38</v>
      </c>
      <c r="D69" s="11" t="s">
        <v>39</v>
      </c>
      <c r="E69" s="12">
        <v>0.44</v>
      </c>
      <c r="F69" s="12">
        <v>0.71</v>
      </c>
      <c r="G69" s="12">
        <v>0.75</v>
      </c>
      <c r="H69" s="12">
        <v>0.5</v>
      </c>
    </row>
    <row r="70" spans="1:8" ht="15" customHeight="1" x14ac:dyDescent="0.45">
      <c r="A70" s="11" t="s">
        <v>30</v>
      </c>
      <c r="B70" s="11" t="s">
        <v>29</v>
      </c>
      <c r="C70" s="11" t="s">
        <v>38</v>
      </c>
      <c r="D70" s="11" t="s">
        <v>39</v>
      </c>
      <c r="E70" s="12">
        <v>0.68</v>
      </c>
      <c r="F70" s="12">
        <v>0.96</v>
      </c>
      <c r="G70" s="12">
        <v>0.96</v>
      </c>
      <c r="H70" s="12">
        <v>1</v>
      </c>
    </row>
    <row r="71" spans="1:8" ht="15" customHeight="1" x14ac:dyDescent="0.45">
      <c r="A71" s="11" t="s">
        <v>31</v>
      </c>
      <c r="B71" s="11" t="s">
        <v>25</v>
      </c>
      <c r="C71" s="11" t="s">
        <v>38</v>
      </c>
      <c r="D71" s="11" t="s">
        <v>39</v>
      </c>
      <c r="E71" s="12">
        <v>0.76</v>
      </c>
      <c r="F71" s="12">
        <v>0.92</v>
      </c>
      <c r="G71" s="12">
        <v>0.84</v>
      </c>
      <c r="H71" s="12">
        <v>1</v>
      </c>
    </row>
    <row r="72" spans="1:8" ht="15" customHeight="1" x14ac:dyDescent="0.45">
      <c r="A72" s="11" t="s">
        <v>31</v>
      </c>
      <c r="B72" s="11" t="s">
        <v>28</v>
      </c>
      <c r="C72" s="11" t="s">
        <v>38</v>
      </c>
      <c r="D72" s="11" t="s">
        <v>39</v>
      </c>
      <c r="E72" s="12">
        <v>0.6</v>
      </c>
      <c r="F72" s="12">
        <v>1</v>
      </c>
      <c r="G72" s="12">
        <v>0.88</v>
      </c>
      <c r="H72" s="12">
        <v>1</v>
      </c>
    </row>
    <row r="73" spans="1:8" ht="15" customHeight="1" x14ac:dyDescent="0.45">
      <c r="A73" s="11" t="s">
        <v>31</v>
      </c>
      <c r="B73" s="11" t="s">
        <v>29</v>
      </c>
      <c r="C73" s="11" t="s">
        <v>38</v>
      </c>
      <c r="D73" s="11" t="s">
        <v>39</v>
      </c>
      <c r="E73" s="12">
        <v>0.76</v>
      </c>
      <c r="F73" s="12">
        <v>1</v>
      </c>
      <c r="G73" s="12">
        <v>0.97</v>
      </c>
      <c r="H73" s="12">
        <v>0.96</v>
      </c>
    </row>
    <row r="74" spans="1:8" ht="15" customHeight="1" x14ac:dyDescent="0.45">
      <c r="A74" s="11" t="s">
        <v>24</v>
      </c>
      <c r="B74" s="11" t="s">
        <v>25</v>
      </c>
      <c r="C74" s="11" t="s">
        <v>38</v>
      </c>
      <c r="D74" s="11" t="s">
        <v>40</v>
      </c>
      <c r="E74" s="12">
        <v>0.7</v>
      </c>
      <c r="F74" s="12">
        <v>1</v>
      </c>
      <c r="G74" s="12">
        <v>1</v>
      </c>
      <c r="H74" s="12">
        <v>1</v>
      </c>
    </row>
    <row r="75" spans="1:8" ht="15" customHeight="1" x14ac:dyDescent="0.45">
      <c r="A75" s="11" t="s">
        <v>24</v>
      </c>
      <c r="B75" s="11" t="s">
        <v>28</v>
      </c>
      <c r="C75" s="11" t="s">
        <v>38</v>
      </c>
      <c r="D75" s="11" t="s">
        <v>40</v>
      </c>
      <c r="E75" s="12">
        <v>0.69</v>
      </c>
      <c r="F75" s="12">
        <v>1</v>
      </c>
      <c r="G75" s="12">
        <v>1</v>
      </c>
      <c r="H75" s="12">
        <v>0.93</v>
      </c>
    </row>
    <row r="76" spans="1:8" ht="15" customHeight="1" x14ac:dyDescent="0.45">
      <c r="A76" s="11" t="s">
        <v>24</v>
      </c>
      <c r="B76" s="11" t="s">
        <v>29</v>
      </c>
      <c r="C76" s="11" t="s">
        <v>38</v>
      </c>
      <c r="D76" s="11" t="s">
        <v>40</v>
      </c>
      <c r="E76" s="12">
        <v>0.7</v>
      </c>
      <c r="F76" s="12">
        <v>1</v>
      </c>
      <c r="G76" s="12">
        <v>1</v>
      </c>
      <c r="H76" s="12">
        <v>1</v>
      </c>
    </row>
    <row r="77" spans="1:8" ht="15" customHeight="1" x14ac:dyDescent="0.45">
      <c r="A77" s="11" t="s">
        <v>30</v>
      </c>
      <c r="B77" s="11" t="s">
        <v>25</v>
      </c>
      <c r="C77" s="11" t="s">
        <v>38</v>
      </c>
      <c r="D77" s="11" t="s">
        <v>40</v>
      </c>
      <c r="E77" s="12">
        <v>0.63</v>
      </c>
      <c r="F77" s="12">
        <v>0.93</v>
      </c>
      <c r="G77" s="12">
        <v>0.85</v>
      </c>
      <c r="H77" s="12">
        <v>0.52</v>
      </c>
    </row>
    <row r="78" spans="1:8" ht="15" customHeight="1" x14ac:dyDescent="0.45">
      <c r="A78" s="11" t="s">
        <v>30</v>
      </c>
      <c r="B78" s="11" t="s">
        <v>28</v>
      </c>
      <c r="C78" s="11" t="s">
        <v>38</v>
      </c>
      <c r="D78" s="11" t="s">
        <v>40</v>
      </c>
      <c r="E78" s="12">
        <v>0.62</v>
      </c>
      <c r="F78" s="12">
        <v>0.85</v>
      </c>
      <c r="G78" s="12">
        <v>1</v>
      </c>
      <c r="H78" s="12">
        <v>0.52</v>
      </c>
    </row>
    <row r="79" spans="1:8" ht="15" customHeight="1" x14ac:dyDescent="0.45">
      <c r="A79" s="11" t="s">
        <v>30</v>
      </c>
      <c r="B79" s="11" t="s">
        <v>29</v>
      </c>
      <c r="C79" s="11" t="s">
        <v>38</v>
      </c>
      <c r="D79" s="11" t="s">
        <v>40</v>
      </c>
      <c r="E79" s="12">
        <v>0.55000000000000004</v>
      </c>
      <c r="F79" s="12">
        <v>0.93</v>
      </c>
      <c r="G79" s="12">
        <v>0.69</v>
      </c>
      <c r="H79" s="12">
        <v>0.93</v>
      </c>
    </row>
    <row r="80" spans="1:8" ht="15" customHeight="1" x14ac:dyDescent="0.45">
      <c r="A80" s="11" t="s">
        <v>31</v>
      </c>
      <c r="B80" s="11" t="s">
        <v>25</v>
      </c>
      <c r="C80" s="11" t="s">
        <v>38</v>
      </c>
      <c r="D80" s="11" t="s">
        <v>40</v>
      </c>
      <c r="E80" s="12">
        <v>0.62</v>
      </c>
      <c r="F80" s="12">
        <v>1</v>
      </c>
      <c r="G80" s="12">
        <v>0.93</v>
      </c>
      <c r="H80" s="12">
        <v>1</v>
      </c>
    </row>
    <row r="81" spans="1:8" ht="15" customHeight="1" x14ac:dyDescent="0.45">
      <c r="A81" s="11" t="s">
        <v>31</v>
      </c>
      <c r="B81" s="11" t="s">
        <v>28</v>
      </c>
      <c r="C81" s="11" t="s">
        <v>38</v>
      </c>
      <c r="D81" s="11" t="s">
        <v>40</v>
      </c>
      <c r="E81" s="12">
        <v>0.34</v>
      </c>
      <c r="F81" s="12">
        <v>0.5</v>
      </c>
      <c r="G81" s="12">
        <v>0.5</v>
      </c>
      <c r="H81" s="12">
        <v>0.5</v>
      </c>
    </row>
    <row r="82" spans="1:8" ht="15" customHeight="1" x14ac:dyDescent="0.45">
      <c r="A82" s="11" t="s">
        <v>31</v>
      </c>
      <c r="B82" s="11" t="s">
        <v>29</v>
      </c>
      <c r="C82" s="11" t="s">
        <v>38</v>
      </c>
      <c r="D82" s="11" t="s">
        <v>40</v>
      </c>
      <c r="E82" s="12">
        <v>0.34</v>
      </c>
      <c r="F82" s="12">
        <v>0.45</v>
      </c>
      <c r="G82" s="12">
        <v>0.45</v>
      </c>
      <c r="H82" s="12">
        <v>0.45</v>
      </c>
    </row>
    <row r="83" spans="1:8" ht="15" customHeight="1" x14ac:dyDescent="0.45">
      <c r="A83" s="11" t="s">
        <v>24</v>
      </c>
      <c r="B83" s="11" t="s">
        <v>25</v>
      </c>
      <c r="C83" s="11" t="s">
        <v>38</v>
      </c>
      <c r="D83" s="11" t="s">
        <v>41</v>
      </c>
      <c r="E83" s="12">
        <v>0.72</v>
      </c>
      <c r="F83" s="12">
        <v>1</v>
      </c>
      <c r="G83" s="12">
        <v>1</v>
      </c>
      <c r="H83" s="12">
        <v>1</v>
      </c>
    </row>
    <row r="84" spans="1:8" ht="15" customHeight="1" x14ac:dyDescent="0.45">
      <c r="A84" s="11" t="s">
        <v>24</v>
      </c>
      <c r="B84" s="11" t="s">
        <v>28</v>
      </c>
      <c r="C84" s="11" t="s">
        <v>38</v>
      </c>
      <c r="D84" s="11" t="s">
        <v>41</v>
      </c>
      <c r="E84" s="12">
        <v>0.79</v>
      </c>
      <c r="F84" s="12">
        <v>1</v>
      </c>
      <c r="G84" s="12">
        <v>1</v>
      </c>
      <c r="H84" s="12">
        <v>0.83</v>
      </c>
    </row>
    <row r="85" spans="1:8" ht="15" customHeight="1" x14ac:dyDescent="0.45">
      <c r="A85" s="11" t="s">
        <v>24</v>
      </c>
      <c r="B85" s="11" t="s">
        <v>29</v>
      </c>
      <c r="C85" s="11" t="s">
        <v>38</v>
      </c>
      <c r="D85" s="11" t="s">
        <v>41</v>
      </c>
      <c r="E85" s="12">
        <v>0.41</v>
      </c>
      <c r="F85" s="12">
        <v>0.76</v>
      </c>
      <c r="G85" s="12">
        <v>1</v>
      </c>
      <c r="H85" s="12">
        <v>0.63</v>
      </c>
    </row>
    <row r="86" spans="1:8" ht="15" customHeight="1" x14ac:dyDescent="0.45">
      <c r="A86" s="11" t="s">
        <v>30</v>
      </c>
      <c r="B86" s="11" t="s">
        <v>25</v>
      </c>
      <c r="C86" s="11" t="s">
        <v>38</v>
      </c>
      <c r="D86" s="11" t="s">
        <v>41</v>
      </c>
      <c r="E86" s="12">
        <v>0.27</v>
      </c>
      <c r="F86" s="12">
        <v>0.5</v>
      </c>
      <c r="G86" s="12">
        <v>0.43</v>
      </c>
      <c r="H86" s="12">
        <v>0.28000000000000003</v>
      </c>
    </row>
    <row r="87" spans="1:8" ht="15" customHeight="1" x14ac:dyDescent="0.45">
      <c r="A87" s="11" t="s">
        <v>30</v>
      </c>
      <c r="B87" s="11" t="s">
        <v>28</v>
      </c>
      <c r="C87" s="11" t="s">
        <v>38</v>
      </c>
      <c r="D87" s="11" t="s">
        <v>41</v>
      </c>
      <c r="E87" s="12">
        <v>0.6</v>
      </c>
      <c r="F87" s="12">
        <v>1</v>
      </c>
      <c r="G87" s="12">
        <v>0.92</v>
      </c>
      <c r="H87" s="12">
        <v>0.83</v>
      </c>
    </row>
    <row r="88" spans="1:8" ht="15" customHeight="1" x14ac:dyDescent="0.45">
      <c r="A88" s="11" t="s">
        <v>30</v>
      </c>
      <c r="B88" s="11" t="s">
        <v>29</v>
      </c>
      <c r="C88" s="11" t="s">
        <v>38</v>
      </c>
      <c r="D88" s="11" t="s">
        <v>41</v>
      </c>
      <c r="E88" s="12">
        <v>0.54</v>
      </c>
      <c r="F88" s="12">
        <v>0.72</v>
      </c>
      <c r="G88" s="12">
        <v>0.7</v>
      </c>
      <c r="H88" s="12">
        <v>0.37</v>
      </c>
    </row>
    <row r="89" spans="1:8" ht="15" customHeight="1" x14ac:dyDescent="0.45">
      <c r="A89" s="11" t="s">
        <v>31</v>
      </c>
      <c r="B89" s="11" t="s">
        <v>25</v>
      </c>
      <c r="C89" s="11" t="s">
        <v>38</v>
      </c>
      <c r="D89" s="11" t="s">
        <v>41</v>
      </c>
      <c r="E89" s="12">
        <v>0.72</v>
      </c>
      <c r="F89" s="12">
        <v>1</v>
      </c>
      <c r="G89" s="12">
        <v>0.84</v>
      </c>
      <c r="H89" s="12">
        <v>1</v>
      </c>
    </row>
    <row r="90" spans="1:8" ht="15" customHeight="1" x14ac:dyDescent="0.45">
      <c r="A90" s="11" t="s">
        <v>31</v>
      </c>
      <c r="B90" s="11" t="s">
        <v>28</v>
      </c>
      <c r="C90" s="11" t="s">
        <v>38</v>
      </c>
      <c r="D90" s="11" t="s">
        <v>41</v>
      </c>
      <c r="E90" s="12">
        <v>0.73</v>
      </c>
      <c r="F90" s="12">
        <v>1</v>
      </c>
      <c r="G90" s="12">
        <v>0.89</v>
      </c>
      <c r="H90" s="12">
        <v>1</v>
      </c>
    </row>
    <row r="91" spans="1:8" ht="15" customHeight="1" x14ac:dyDescent="0.45">
      <c r="A91" s="11" t="s">
        <v>31</v>
      </c>
      <c r="B91" s="11" t="s">
        <v>29</v>
      </c>
      <c r="C91" s="11" t="s">
        <v>38</v>
      </c>
      <c r="D91" s="11" t="s">
        <v>41</v>
      </c>
      <c r="E91" s="12">
        <v>0.72</v>
      </c>
      <c r="F91" s="12">
        <v>0.83</v>
      </c>
      <c r="G91" s="12">
        <v>0.96</v>
      </c>
      <c r="H91" s="12">
        <v>0.79</v>
      </c>
    </row>
    <row r="92" spans="1:8" ht="15" customHeight="1" x14ac:dyDescent="0.45">
      <c r="A92" s="11" t="s">
        <v>24</v>
      </c>
      <c r="B92" s="11" t="s">
        <v>25</v>
      </c>
      <c r="C92" s="11" t="s">
        <v>38</v>
      </c>
      <c r="D92" s="11" t="s">
        <v>42</v>
      </c>
      <c r="E92" s="12">
        <v>0.68</v>
      </c>
      <c r="F92" s="12">
        <v>1</v>
      </c>
      <c r="G92" s="12">
        <v>0.96</v>
      </c>
      <c r="H92" s="12">
        <v>1</v>
      </c>
    </row>
    <row r="93" spans="1:8" ht="15" customHeight="1" x14ac:dyDescent="0.45">
      <c r="A93" s="11" t="s">
        <v>24</v>
      </c>
      <c r="B93" s="11" t="s">
        <v>28</v>
      </c>
      <c r="C93" s="11" t="s">
        <v>38</v>
      </c>
      <c r="D93" s="11" t="s">
        <v>42</v>
      </c>
      <c r="E93" s="12">
        <v>0.68</v>
      </c>
      <c r="F93" s="12">
        <v>1</v>
      </c>
      <c r="G93" s="12">
        <v>1</v>
      </c>
      <c r="H93" s="12">
        <v>0.59</v>
      </c>
    </row>
    <row r="94" spans="1:8" ht="15" customHeight="1" x14ac:dyDescent="0.45">
      <c r="A94" s="11" t="s">
        <v>24</v>
      </c>
      <c r="B94" s="11" t="s">
        <v>29</v>
      </c>
      <c r="C94" s="11" t="s">
        <v>38</v>
      </c>
      <c r="D94" s="11" t="s">
        <v>42</v>
      </c>
      <c r="E94" s="12">
        <v>0.64</v>
      </c>
      <c r="F94" s="12">
        <v>1</v>
      </c>
      <c r="G94" s="12">
        <v>0.96</v>
      </c>
      <c r="H94" s="12">
        <v>0.96</v>
      </c>
    </row>
    <row r="95" spans="1:8" ht="15" customHeight="1" x14ac:dyDescent="0.45">
      <c r="A95" s="11" t="s">
        <v>30</v>
      </c>
      <c r="B95" s="11" t="s">
        <v>25</v>
      </c>
      <c r="C95" s="11" t="s">
        <v>38</v>
      </c>
      <c r="D95" s="11" t="s">
        <v>42</v>
      </c>
      <c r="E95" s="12">
        <v>0.56999999999999995</v>
      </c>
      <c r="F95" s="12">
        <v>0.96</v>
      </c>
      <c r="G95" s="12">
        <v>0.96</v>
      </c>
      <c r="H95" s="12">
        <v>0.79</v>
      </c>
    </row>
    <row r="96" spans="1:8" ht="15" customHeight="1" x14ac:dyDescent="0.45">
      <c r="A96" s="11" t="s">
        <v>30</v>
      </c>
      <c r="B96" s="11" t="s">
        <v>28</v>
      </c>
      <c r="C96" s="11" t="s">
        <v>38</v>
      </c>
      <c r="D96" s="11" t="s">
        <v>42</v>
      </c>
      <c r="E96" s="12">
        <v>0.44</v>
      </c>
      <c r="F96" s="12">
        <v>0.67</v>
      </c>
      <c r="G96" s="12">
        <v>0.47</v>
      </c>
      <c r="H96" s="12">
        <v>0.35</v>
      </c>
    </row>
    <row r="97" spans="1:8" ht="15" customHeight="1" x14ac:dyDescent="0.45">
      <c r="A97" s="11" t="s">
        <v>30</v>
      </c>
      <c r="B97" s="11" t="s">
        <v>29</v>
      </c>
      <c r="C97" s="11" t="s">
        <v>38</v>
      </c>
      <c r="D97" s="11" t="s">
        <v>42</v>
      </c>
      <c r="E97" s="12">
        <v>0.68</v>
      </c>
      <c r="F97" s="12">
        <v>0.68</v>
      </c>
      <c r="G97" s="12">
        <v>0.52</v>
      </c>
      <c r="H97" s="12">
        <v>0.52</v>
      </c>
    </row>
    <row r="98" spans="1:8" ht="15" customHeight="1" x14ac:dyDescent="0.45">
      <c r="A98" s="11" t="s">
        <v>31</v>
      </c>
      <c r="B98" s="11" t="s">
        <v>25</v>
      </c>
      <c r="C98" s="11" t="s">
        <v>38</v>
      </c>
      <c r="D98" s="11" t="s">
        <v>42</v>
      </c>
      <c r="E98" s="12">
        <v>0.69</v>
      </c>
      <c r="F98" s="12">
        <v>0.96</v>
      </c>
      <c r="G98" s="12">
        <v>0.88</v>
      </c>
      <c r="H98" s="12">
        <v>0.72</v>
      </c>
    </row>
    <row r="99" spans="1:8" ht="15" customHeight="1" x14ac:dyDescent="0.45">
      <c r="A99" s="11" t="s">
        <v>31</v>
      </c>
      <c r="B99" s="11" t="s">
        <v>28</v>
      </c>
      <c r="C99" s="11" t="s">
        <v>38</v>
      </c>
      <c r="D99" s="11" t="s">
        <v>42</v>
      </c>
      <c r="E99" s="12">
        <v>0.69</v>
      </c>
      <c r="F99" s="12">
        <v>1</v>
      </c>
      <c r="G99" s="12">
        <v>0.96</v>
      </c>
      <c r="H99" s="12">
        <v>0.92</v>
      </c>
    </row>
    <row r="100" spans="1:8" ht="15" customHeight="1" x14ac:dyDescent="0.45">
      <c r="A100" s="11" t="s">
        <v>31</v>
      </c>
      <c r="B100" s="11" t="s">
        <v>29</v>
      </c>
      <c r="C100" s="11" t="s">
        <v>38</v>
      </c>
      <c r="D100" s="11" t="s">
        <v>42</v>
      </c>
      <c r="E100" s="12">
        <v>0.73</v>
      </c>
      <c r="F100" s="12">
        <v>0.86</v>
      </c>
      <c r="G100" s="12">
        <v>0.97</v>
      </c>
      <c r="H100" s="12">
        <v>0.56999999999999995</v>
      </c>
    </row>
    <row r="101" spans="1:8" ht="15" customHeight="1" x14ac:dyDescent="0.45">
      <c r="A101" s="11" t="s">
        <v>24</v>
      </c>
      <c r="B101" s="11" t="s">
        <v>25</v>
      </c>
      <c r="C101" s="11" t="s">
        <v>43</v>
      </c>
      <c r="D101" s="11" t="s">
        <v>44</v>
      </c>
      <c r="E101" s="12">
        <v>1</v>
      </c>
      <c r="F101" s="12">
        <v>1</v>
      </c>
      <c r="G101" s="12">
        <v>1</v>
      </c>
      <c r="H101" s="12">
        <v>1</v>
      </c>
    </row>
    <row r="102" spans="1:8" ht="15" customHeight="1" x14ac:dyDescent="0.45">
      <c r="A102" s="11" t="s">
        <v>24</v>
      </c>
      <c r="B102" s="11" t="s">
        <v>28</v>
      </c>
      <c r="C102" s="11" t="s">
        <v>43</v>
      </c>
      <c r="D102" s="11" t="s">
        <v>44</v>
      </c>
      <c r="E102" s="12">
        <v>1</v>
      </c>
      <c r="F102" s="12">
        <v>1</v>
      </c>
      <c r="G102" s="12">
        <v>1</v>
      </c>
      <c r="H102" s="12">
        <v>1</v>
      </c>
    </row>
    <row r="103" spans="1:8" ht="15" customHeight="1" x14ac:dyDescent="0.45">
      <c r="A103" s="11" t="s">
        <v>24</v>
      </c>
      <c r="B103" s="11" t="s">
        <v>29</v>
      </c>
      <c r="C103" s="11" t="s">
        <v>43</v>
      </c>
      <c r="D103" s="11" t="s">
        <v>44</v>
      </c>
      <c r="E103" s="12">
        <v>0.5</v>
      </c>
      <c r="F103" s="12">
        <v>1</v>
      </c>
      <c r="G103" s="12">
        <v>1</v>
      </c>
      <c r="H103" s="12">
        <v>1</v>
      </c>
    </row>
    <row r="104" spans="1:8" ht="15" customHeight="1" x14ac:dyDescent="0.45">
      <c r="A104" s="11" t="s">
        <v>30</v>
      </c>
      <c r="B104" s="11" t="s">
        <v>25</v>
      </c>
      <c r="C104" s="11" t="s">
        <v>43</v>
      </c>
      <c r="D104" s="11" t="s">
        <v>44</v>
      </c>
      <c r="E104" s="12">
        <v>0.88</v>
      </c>
      <c r="F104" s="12">
        <v>1</v>
      </c>
      <c r="G104" s="12">
        <v>1</v>
      </c>
      <c r="H104" s="12">
        <v>1</v>
      </c>
    </row>
    <row r="105" spans="1:8" ht="15" customHeight="1" x14ac:dyDescent="0.45">
      <c r="A105" s="11" t="s">
        <v>30</v>
      </c>
      <c r="B105" s="11" t="s">
        <v>28</v>
      </c>
      <c r="C105" s="11" t="s">
        <v>43</v>
      </c>
      <c r="D105" s="11" t="s">
        <v>44</v>
      </c>
      <c r="E105" s="12">
        <v>0.88</v>
      </c>
      <c r="F105" s="12">
        <v>1</v>
      </c>
      <c r="G105" s="12">
        <v>1</v>
      </c>
      <c r="H105" s="12">
        <v>0.75</v>
      </c>
    </row>
    <row r="106" spans="1:8" ht="15" customHeight="1" x14ac:dyDescent="0.45">
      <c r="A106" s="11" t="s">
        <v>30</v>
      </c>
      <c r="B106" s="11" t="s">
        <v>29</v>
      </c>
      <c r="C106" s="11" t="s">
        <v>43</v>
      </c>
      <c r="D106" s="11" t="s">
        <v>44</v>
      </c>
      <c r="E106" s="12">
        <v>0.5</v>
      </c>
      <c r="F106" s="12">
        <v>0.88</v>
      </c>
      <c r="G106" s="12">
        <v>0.75</v>
      </c>
      <c r="H106" s="12">
        <v>0.5</v>
      </c>
    </row>
    <row r="107" spans="1:8" ht="15" customHeight="1" x14ac:dyDescent="0.45">
      <c r="A107" s="11" t="s">
        <v>31</v>
      </c>
      <c r="B107" s="11" t="s">
        <v>25</v>
      </c>
      <c r="C107" s="11" t="s">
        <v>43</v>
      </c>
      <c r="D107" s="11" t="s">
        <v>44</v>
      </c>
      <c r="E107" s="12">
        <v>0.5</v>
      </c>
      <c r="F107" s="12">
        <v>0.88</v>
      </c>
      <c r="G107" s="12">
        <v>0.75</v>
      </c>
      <c r="H107" s="12">
        <v>1</v>
      </c>
    </row>
    <row r="108" spans="1:8" ht="15" customHeight="1" x14ac:dyDescent="0.45">
      <c r="A108" s="11" t="s">
        <v>31</v>
      </c>
      <c r="B108" s="11" t="s">
        <v>28</v>
      </c>
      <c r="C108" s="11" t="s">
        <v>43</v>
      </c>
      <c r="D108" s="11" t="s">
        <v>44</v>
      </c>
      <c r="E108" s="12">
        <v>0.88</v>
      </c>
      <c r="F108" s="12">
        <v>1</v>
      </c>
      <c r="G108" s="12">
        <v>0.88</v>
      </c>
      <c r="H108" s="12">
        <v>1</v>
      </c>
    </row>
    <row r="109" spans="1:8" ht="15" customHeight="1" x14ac:dyDescent="0.45">
      <c r="A109" s="11" t="s">
        <v>31</v>
      </c>
      <c r="B109" s="11" t="s">
        <v>29</v>
      </c>
      <c r="C109" s="11" t="s">
        <v>43</v>
      </c>
      <c r="D109" s="11" t="s">
        <v>44</v>
      </c>
      <c r="E109" s="12">
        <v>0.5</v>
      </c>
      <c r="F109" s="12">
        <v>1</v>
      </c>
      <c r="G109" s="12">
        <v>0.88</v>
      </c>
      <c r="H109" s="12">
        <v>1</v>
      </c>
    </row>
    <row r="110" spans="1:8" ht="15" customHeight="1" x14ac:dyDescent="0.45">
      <c r="A110" s="11" t="s">
        <v>24</v>
      </c>
      <c r="B110" s="11" t="s">
        <v>25</v>
      </c>
      <c r="C110" s="11" t="s">
        <v>43</v>
      </c>
      <c r="D110" s="11" t="s">
        <v>45</v>
      </c>
      <c r="E110" s="12">
        <v>1</v>
      </c>
      <c r="F110" s="12">
        <v>1</v>
      </c>
      <c r="G110" s="12">
        <v>1</v>
      </c>
      <c r="H110" s="12">
        <v>1</v>
      </c>
    </row>
    <row r="111" spans="1:8" ht="15" customHeight="1" x14ac:dyDescent="0.45">
      <c r="A111" s="11" t="s">
        <v>24</v>
      </c>
      <c r="B111" s="11" t="s">
        <v>28</v>
      </c>
      <c r="C111" s="11" t="s">
        <v>43</v>
      </c>
      <c r="D111" s="11" t="s">
        <v>45</v>
      </c>
      <c r="E111" s="12">
        <v>1</v>
      </c>
      <c r="F111" s="12">
        <v>1</v>
      </c>
      <c r="G111" s="12">
        <v>1</v>
      </c>
      <c r="H111" s="12">
        <v>1</v>
      </c>
    </row>
    <row r="112" spans="1:8" ht="15" customHeight="1" x14ac:dyDescent="0.45">
      <c r="A112" s="11" t="s">
        <v>24</v>
      </c>
      <c r="B112" s="11" t="s">
        <v>29</v>
      </c>
      <c r="C112" s="11" t="s">
        <v>43</v>
      </c>
      <c r="D112" s="11" t="s">
        <v>45</v>
      </c>
      <c r="E112" s="12">
        <v>1</v>
      </c>
      <c r="F112" s="12">
        <v>1</v>
      </c>
      <c r="G112" s="12">
        <v>1</v>
      </c>
      <c r="H112" s="12">
        <v>1</v>
      </c>
    </row>
    <row r="113" spans="1:8" ht="15" customHeight="1" x14ac:dyDescent="0.45">
      <c r="A113" s="11" t="s">
        <v>30</v>
      </c>
      <c r="B113" s="11" t="s">
        <v>25</v>
      </c>
      <c r="C113" s="11" t="s">
        <v>43</v>
      </c>
      <c r="D113" s="11" t="s">
        <v>45</v>
      </c>
      <c r="E113" s="12">
        <v>0</v>
      </c>
      <c r="F113" s="12">
        <v>0</v>
      </c>
      <c r="G113" s="12">
        <v>0</v>
      </c>
      <c r="H113" s="12">
        <v>0</v>
      </c>
    </row>
    <row r="114" spans="1:8" ht="15" customHeight="1" x14ac:dyDescent="0.45">
      <c r="A114" s="11" t="s">
        <v>30</v>
      </c>
      <c r="B114" s="11" t="s">
        <v>28</v>
      </c>
      <c r="C114" s="11" t="s">
        <v>43</v>
      </c>
      <c r="D114" s="11" t="s">
        <v>45</v>
      </c>
      <c r="E114" s="12">
        <v>0.75</v>
      </c>
      <c r="F114" s="12">
        <v>1</v>
      </c>
      <c r="G114" s="12">
        <v>1</v>
      </c>
      <c r="H114" s="12">
        <v>0.75</v>
      </c>
    </row>
    <row r="115" spans="1:8" ht="15" customHeight="1" x14ac:dyDescent="0.45">
      <c r="A115" s="11" t="s">
        <v>30</v>
      </c>
      <c r="B115" s="11" t="s">
        <v>29</v>
      </c>
      <c r="C115" s="11" t="s">
        <v>43</v>
      </c>
      <c r="D115" s="11" t="s">
        <v>45</v>
      </c>
      <c r="E115" s="12">
        <v>0.75</v>
      </c>
      <c r="F115" s="12">
        <v>1</v>
      </c>
      <c r="G115" s="12">
        <v>1</v>
      </c>
      <c r="H115" s="12">
        <v>0.75</v>
      </c>
    </row>
    <row r="116" spans="1:8" ht="15" customHeight="1" x14ac:dyDescent="0.45">
      <c r="A116" s="11" t="s">
        <v>31</v>
      </c>
      <c r="B116" s="11" t="s">
        <v>25</v>
      </c>
      <c r="C116" s="11" t="s">
        <v>43</v>
      </c>
      <c r="D116" s="11" t="s">
        <v>45</v>
      </c>
      <c r="E116" s="12">
        <v>0.88</v>
      </c>
      <c r="F116" s="12">
        <v>1</v>
      </c>
      <c r="G116" s="12">
        <v>1</v>
      </c>
      <c r="H116" s="12">
        <v>1</v>
      </c>
    </row>
    <row r="117" spans="1:8" ht="15" customHeight="1" x14ac:dyDescent="0.45">
      <c r="A117" s="11" t="s">
        <v>31</v>
      </c>
      <c r="B117" s="11" t="s">
        <v>28</v>
      </c>
      <c r="C117" s="11" t="s">
        <v>43</v>
      </c>
      <c r="D117" s="11" t="s">
        <v>45</v>
      </c>
      <c r="E117" s="12">
        <v>1</v>
      </c>
      <c r="F117" s="12">
        <v>1</v>
      </c>
      <c r="G117" s="12">
        <v>0.88</v>
      </c>
      <c r="H117" s="12">
        <v>1</v>
      </c>
    </row>
    <row r="118" spans="1:8" ht="15" customHeight="1" x14ac:dyDescent="0.45">
      <c r="A118" s="11" t="s">
        <v>31</v>
      </c>
      <c r="B118" s="11" t="s">
        <v>29</v>
      </c>
      <c r="C118" s="11" t="s">
        <v>43</v>
      </c>
      <c r="D118" s="11" t="s">
        <v>45</v>
      </c>
      <c r="E118" s="12">
        <v>1</v>
      </c>
      <c r="F118" s="12">
        <v>1</v>
      </c>
      <c r="G118" s="12">
        <v>0.88</v>
      </c>
      <c r="H118" s="12">
        <v>1</v>
      </c>
    </row>
    <row r="119" spans="1:8" ht="15" customHeight="1" x14ac:dyDescent="0.45">
      <c r="A119" s="11" t="s">
        <v>24</v>
      </c>
      <c r="B119" s="11" t="s">
        <v>25</v>
      </c>
      <c r="C119" s="11" t="s">
        <v>43</v>
      </c>
      <c r="D119" s="11" t="s">
        <v>46</v>
      </c>
      <c r="E119" s="12">
        <v>0.75</v>
      </c>
      <c r="F119" s="12">
        <v>1</v>
      </c>
      <c r="G119" s="12">
        <v>1</v>
      </c>
      <c r="H119" s="12">
        <v>1</v>
      </c>
    </row>
    <row r="120" spans="1:8" ht="15" customHeight="1" x14ac:dyDescent="0.45">
      <c r="A120" s="11" t="s">
        <v>24</v>
      </c>
      <c r="B120" s="11" t="s">
        <v>28</v>
      </c>
      <c r="C120" s="11" t="s">
        <v>43</v>
      </c>
      <c r="D120" s="11" t="s">
        <v>46</v>
      </c>
      <c r="E120" s="12">
        <v>0.75</v>
      </c>
      <c r="F120" s="12">
        <v>1</v>
      </c>
      <c r="G120" s="12">
        <v>1</v>
      </c>
      <c r="H120" s="12">
        <v>1</v>
      </c>
    </row>
    <row r="121" spans="1:8" ht="15" customHeight="1" x14ac:dyDescent="0.45">
      <c r="A121" s="11" t="s">
        <v>24</v>
      </c>
      <c r="B121" s="11" t="s">
        <v>29</v>
      </c>
      <c r="C121" s="11" t="s">
        <v>43</v>
      </c>
      <c r="D121" s="11" t="s">
        <v>46</v>
      </c>
      <c r="E121" s="12">
        <v>0.75</v>
      </c>
      <c r="F121" s="12">
        <v>1</v>
      </c>
      <c r="G121" s="12">
        <v>1</v>
      </c>
      <c r="H121" s="12">
        <v>1</v>
      </c>
    </row>
    <row r="122" spans="1:8" ht="15" customHeight="1" x14ac:dyDescent="0.45">
      <c r="A122" s="11" t="s">
        <v>30</v>
      </c>
      <c r="B122" s="11" t="s">
        <v>25</v>
      </c>
      <c r="C122" s="11" t="s">
        <v>43</v>
      </c>
      <c r="D122" s="11" t="s">
        <v>46</v>
      </c>
      <c r="E122" s="12">
        <v>0.88</v>
      </c>
      <c r="F122" s="12">
        <v>1</v>
      </c>
      <c r="G122" s="12">
        <v>1</v>
      </c>
      <c r="H122" s="12">
        <v>1</v>
      </c>
    </row>
    <row r="123" spans="1:8" ht="15" customHeight="1" x14ac:dyDescent="0.45">
      <c r="A123" s="11" t="s">
        <v>30</v>
      </c>
      <c r="B123" s="11" t="s">
        <v>28</v>
      </c>
      <c r="C123" s="11" t="s">
        <v>43</v>
      </c>
      <c r="D123" s="11" t="s">
        <v>46</v>
      </c>
      <c r="E123" s="12">
        <v>0.88</v>
      </c>
      <c r="F123" s="12">
        <v>1</v>
      </c>
      <c r="G123" s="12">
        <v>1</v>
      </c>
      <c r="H123" s="12">
        <v>1</v>
      </c>
    </row>
    <row r="124" spans="1:8" ht="15" customHeight="1" x14ac:dyDescent="0.45">
      <c r="A124" s="11" t="s">
        <v>30</v>
      </c>
      <c r="B124" s="11" t="s">
        <v>29</v>
      </c>
      <c r="C124" s="11" t="s">
        <v>43</v>
      </c>
      <c r="D124" s="11" t="s">
        <v>46</v>
      </c>
      <c r="E124" s="12">
        <v>0.88</v>
      </c>
      <c r="F124" s="12">
        <v>1</v>
      </c>
      <c r="G124" s="12">
        <v>1</v>
      </c>
      <c r="H124" s="12">
        <v>1</v>
      </c>
    </row>
    <row r="125" spans="1:8" ht="15" customHeight="1" x14ac:dyDescent="0.45">
      <c r="A125" s="11" t="s">
        <v>31</v>
      </c>
      <c r="B125" s="11" t="s">
        <v>25</v>
      </c>
      <c r="C125" s="11" t="s">
        <v>43</v>
      </c>
      <c r="D125" s="11" t="s">
        <v>46</v>
      </c>
      <c r="E125" s="12">
        <v>0.88</v>
      </c>
      <c r="F125" s="12">
        <v>1</v>
      </c>
      <c r="G125" s="12">
        <v>1</v>
      </c>
      <c r="H125" s="12">
        <v>1</v>
      </c>
    </row>
    <row r="126" spans="1:8" ht="15" customHeight="1" x14ac:dyDescent="0.45">
      <c r="A126" s="11" t="s">
        <v>31</v>
      </c>
      <c r="B126" s="11" t="s">
        <v>28</v>
      </c>
      <c r="C126" s="11" t="s">
        <v>43</v>
      </c>
      <c r="D126" s="11" t="s">
        <v>46</v>
      </c>
      <c r="E126" s="12">
        <v>0.88</v>
      </c>
      <c r="F126" s="12">
        <v>1</v>
      </c>
      <c r="G126" s="12">
        <v>0.88</v>
      </c>
      <c r="H126" s="12">
        <v>1</v>
      </c>
    </row>
    <row r="127" spans="1:8" ht="15" customHeight="1" x14ac:dyDescent="0.45">
      <c r="A127" s="11" t="s">
        <v>31</v>
      </c>
      <c r="B127" s="11" t="s">
        <v>29</v>
      </c>
      <c r="C127" s="11" t="s">
        <v>43</v>
      </c>
      <c r="D127" s="11" t="s">
        <v>46</v>
      </c>
      <c r="E127" s="12">
        <v>0.5</v>
      </c>
      <c r="F127" s="12">
        <v>1</v>
      </c>
      <c r="G127" s="12">
        <v>0.25</v>
      </c>
      <c r="H127" s="12">
        <v>1</v>
      </c>
    </row>
    <row r="128" spans="1:8" ht="15" customHeight="1" x14ac:dyDescent="0.45">
      <c r="A128" s="11" t="s">
        <v>24</v>
      </c>
      <c r="B128" s="11" t="s">
        <v>25</v>
      </c>
      <c r="C128" s="11" t="s">
        <v>43</v>
      </c>
      <c r="D128" s="11" t="s">
        <v>47</v>
      </c>
      <c r="E128" s="12">
        <v>1</v>
      </c>
      <c r="F128" s="12">
        <v>1</v>
      </c>
      <c r="G128" s="12">
        <v>1</v>
      </c>
      <c r="H128" s="12">
        <v>1</v>
      </c>
    </row>
    <row r="129" spans="1:8" ht="15" customHeight="1" x14ac:dyDescent="0.45">
      <c r="A129" s="11" t="s">
        <v>24</v>
      </c>
      <c r="B129" s="11" t="s">
        <v>28</v>
      </c>
      <c r="C129" s="11" t="s">
        <v>43</v>
      </c>
      <c r="D129" s="11" t="s">
        <v>47</v>
      </c>
      <c r="E129" s="12">
        <v>1</v>
      </c>
      <c r="F129" s="12">
        <v>1</v>
      </c>
      <c r="G129" s="12">
        <v>1</v>
      </c>
      <c r="H129" s="12">
        <v>1</v>
      </c>
    </row>
    <row r="130" spans="1:8" ht="15" customHeight="1" x14ac:dyDescent="0.45">
      <c r="A130" s="11" t="s">
        <v>24</v>
      </c>
      <c r="B130" s="11" t="s">
        <v>29</v>
      </c>
      <c r="C130" s="11" t="s">
        <v>43</v>
      </c>
      <c r="D130" s="11" t="s">
        <v>47</v>
      </c>
      <c r="E130" s="12">
        <v>0.25</v>
      </c>
      <c r="F130" s="12">
        <v>1</v>
      </c>
      <c r="G130" s="12">
        <v>1</v>
      </c>
      <c r="H130" s="12">
        <v>1</v>
      </c>
    </row>
    <row r="131" spans="1:8" ht="15" customHeight="1" x14ac:dyDescent="0.45">
      <c r="A131" s="11" t="s">
        <v>30</v>
      </c>
      <c r="B131" s="11" t="s">
        <v>25</v>
      </c>
      <c r="C131" s="11" t="s">
        <v>43</v>
      </c>
      <c r="D131" s="11" t="s">
        <v>47</v>
      </c>
      <c r="E131" s="12">
        <v>0.88</v>
      </c>
      <c r="F131" s="12">
        <v>1</v>
      </c>
      <c r="G131" s="12">
        <v>1</v>
      </c>
      <c r="H131" s="12">
        <v>1</v>
      </c>
    </row>
    <row r="132" spans="1:8" ht="15" customHeight="1" x14ac:dyDescent="0.45">
      <c r="A132" s="11" t="s">
        <v>30</v>
      </c>
      <c r="B132" s="11" t="s">
        <v>28</v>
      </c>
      <c r="C132" s="11" t="s">
        <v>43</v>
      </c>
      <c r="D132" s="11" t="s">
        <v>47</v>
      </c>
      <c r="E132" s="12">
        <v>0.88</v>
      </c>
      <c r="F132" s="12">
        <v>1</v>
      </c>
      <c r="G132" s="12">
        <v>1</v>
      </c>
      <c r="H132" s="12">
        <v>1</v>
      </c>
    </row>
    <row r="133" spans="1:8" ht="15" customHeight="1" x14ac:dyDescent="0.45">
      <c r="A133" s="11" t="s">
        <v>30</v>
      </c>
      <c r="B133" s="11" t="s">
        <v>29</v>
      </c>
      <c r="C133" s="11" t="s">
        <v>43</v>
      </c>
      <c r="D133" s="11" t="s">
        <v>47</v>
      </c>
      <c r="E133" s="12">
        <v>0.88</v>
      </c>
      <c r="F133" s="12">
        <v>1</v>
      </c>
      <c r="G133" s="12">
        <v>1</v>
      </c>
      <c r="H133" s="12">
        <v>1</v>
      </c>
    </row>
    <row r="134" spans="1:8" ht="15" customHeight="1" x14ac:dyDescent="0.45">
      <c r="A134" s="11" t="s">
        <v>31</v>
      </c>
      <c r="B134" s="11" t="s">
        <v>25</v>
      </c>
      <c r="C134" s="11" t="s">
        <v>43</v>
      </c>
      <c r="D134" s="11" t="s">
        <v>47</v>
      </c>
      <c r="E134" s="12">
        <v>0.88</v>
      </c>
      <c r="F134" s="12">
        <v>1</v>
      </c>
      <c r="G134" s="12">
        <v>1</v>
      </c>
      <c r="H134" s="12">
        <v>1</v>
      </c>
    </row>
    <row r="135" spans="1:8" ht="15" customHeight="1" x14ac:dyDescent="0.45">
      <c r="A135" s="11" t="s">
        <v>31</v>
      </c>
      <c r="B135" s="11" t="s">
        <v>28</v>
      </c>
      <c r="C135" s="11" t="s">
        <v>43</v>
      </c>
      <c r="D135" s="11" t="s">
        <v>47</v>
      </c>
      <c r="E135" s="12">
        <v>0.88</v>
      </c>
      <c r="F135" s="12">
        <v>1</v>
      </c>
      <c r="G135" s="12">
        <v>1</v>
      </c>
      <c r="H135" s="12">
        <v>1</v>
      </c>
    </row>
    <row r="136" spans="1:8" ht="15" customHeight="1" x14ac:dyDescent="0.45">
      <c r="A136" s="11" t="s">
        <v>31</v>
      </c>
      <c r="B136" s="11" t="s">
        <v>29</v>
      </c>
      <c r="C136" s="11" t="s">
        <v>43</v>
      </c>
      <c r="D136" s="11" t="s">
        <v>47</v>
      </c>
      <c r="E136" s="12">
        <v>0.88</v>
      </c>
      <c r="F136" s="12">
        <v>1</v>
      </c>
      <c r="G136" s="12">
        <v>1</v>
      </c>
      <c r="H136" s="12">
        <v>1</v>
      </c>
    </row>
    <row r="137" spans="1:8" ht="15" customHeight="1" x14ac:dyDescent="0.45">
      <c r="A137" s="11" t="s">
        <v>24</v>
      </c>
      <c r="B137" s="11" t="s">
        <v>25</v>
      </c>
      <c r="C137" s="11" t="s">
        <v>43</v>
      </c>
      <c r="D137" s="11" t="s">
        <v>48</v>
      </c>
      <c r="E137" s="12">
        <v>1</v>
      </c>
      <c r="F137" s="12">
        <v>1</v>
      </c>
      <c r="G137" s="12">
        <v>1</v>
      </c>
      <c r="H137" s="12">
        <v>1</v>
      </c>
    </row>
    <row r="138" spans="1:8" ht="15" customHeight="1" x14ac:dyDescent="0.45">
      <c r="A138" s="11" t="s">
        <v>24</v>
      </c>
      <c r="B138" s="11" t="s">
        <v>28</v>
      </c>
      <c r="C138" s="11" t="s">
        <v>43</v>
      </c>
      <c r="D138" s="11" t="s">
        <v>48</v>
      </c>
      <c r="E138" s="12">
        <v>1</v>
      </c>
      <c r="F138" s="12">
        <v>1</v>
      </c>
      <c r="G138" s="12">
        <v>1</v>
      </c>
      <c r="H138" s="12">
        <v>1</v>
      </c>
    </row>
    <row r="139" spans="1:8" ht="15" customHeight="1" x14ac:dyDescent="0.45">
      <c r="A139" s="11" t="s">
        <v>24</v>
      </c>
      <c r="B139" s="11" t="s">
        <v>29</v>
      </c>
      <c r="C139" s="11" t="s">
        <v>43</v>
      </c>
      <c r="D139" s="11" t="s">
        <v>48</v>
      </c>
      <c r="E139" s="12">
        <v>1</v>
      </c>
      <c r="F139" s="12">
        <v>1</v>
      </c>
      <c r="G139" s="12">
        <v>1</v>
      </c>
      <c r="H139" s="12">
        <v>1</v>
      </c>
    </row>
    <row r="140" spans="1:8" ht="15" customHeight="1" x14ac:dyDescent="0.45">
      <c r="A140" s="11" t="s">
        <v>30</v>
      </c>
      <c r="B140" s="11" t="s">
        <v>25</v>
      </c>
      <c r="C140" s="11" t="s">
        <v>43</v>
      </c>
      <c r="D140" s="11" t="s">
        <v>48</v>
      </c>
      <c r="E140" s="12">
        <v>1</v>
      </c>
      <c r="F140" s="12">
        <v>1</v>
      </c>
      <c r="G140" s="12">
        <v>1</v>
      </c>
      <c r="H140" s="12">
        <v>1</v>
      </c>
    </row>
    <row r="141" spans="1:8" ht="15" customHeight="1" x14ac:dyDescent="0.45">
      <c r="A141" s="11" t="s">
        <v>30</v>
      </c>
      <c r="B141" s="11" t="s">
        <v>28</v>
      </c>
      <c r="C141" s="11" t="s">
        <v>43</v>
      </c>
      <c r="D141" s="11" t="s">
        <v>48</v>
      </c>
      <c r="E141" s="12">
        <v>0.88</v>
      </c>
      <c r="F141" s="12">
        <v>1</v>
      </c>
      <c r="G141" s="12">
        <v>1</v>
      </c>
      <c r="H141" s="12">
        <v>1</v>
      </c>
    </row>
    <row r="142" spans="1:8" ht="15" customHeight="1" x14ac:dyDescent="0.45">
      <c r="A142" s="11" t="s">
        <v>30</v>
      </c>
      <c r="B142" s="11" t="s">
        <v>29</v>
      </c>
      <c r="C142" s="11" t="s">
        <v>43</v>
      </c>
      <c r="D142" s="11" t="s">
        <v>48</v>
      </c>
      <c r="E142" s="12">
        <v>0.88</v>
      </c>
      <c r="F142" s="12">
        <v>1</v>
      </c>
      <c r="G142" s="12">
        <v>1</v>
      </c>
      <c r="H142" s="12">
        <v>1</v>
      </c>
    </row>
    <row r="143" spans="1:8" ht="15" customHeight="1" x14ac:dyDescent="0.45">
      <c r="A143" s="11" t="s">
        <v>31</v>
      </c>
      <c r="B143" s="11" t="s">
        <v>25</v>
      </c>
      <c r="C143" s="11" t="s">
        <v>43</v>
      </c>
      <c r="D143" s="11" t="s">
        <v>48</v>
      </c>
      <c r="E143" s="12">
        <v>0.88</v>
      </c>
      <c r="F143" s="12">
        <v>1</v>
      </c>
      <c r="G143" s="12">
        <v>1</v>
      </c>
      <c r="H143" s="12">
        <v>1</v>
      </c>
    </row>
    <row r="144" spans="1:8" ht="15" customHeight="1" x14ac:dyDescent="0.45">
      <c r="A144" s="11" t="s">
        <v>31</v>
      </c>
      <c r="B144" s="11" t="s">
        <v>28</v>
      </c>
      <c r="C144" s="11" t="s">
        <v>43</v>
      </c>
      <c r="D144" s="11" t="s">
        <v>48</v>
      </c>
      <c r="E144" s="12">
        <v>0.88</v>
      </c>
      <c r="F144" s="12">
        <v>1</v>
      </c>
      <c r="G144" s="12">
        <v>1</v>
      </c>
      <c r="H144" s="12">
        <v>1</v>
      </c>
    </row>
    <row r="145" spans="1:8" ht="15" customHeight="1" x14ac:dyDescent="0.45">
      <c r="A145" s="11" t="s">
        <v>31</v>
      </c>
      <c r="B145" s="11" t="s">
        <v>29</v>
      </c>
      <c r="C145" s="11" t="s">
        <v>43</v>
      </c>
      <c r="D145" s="11" t="s">
        <v>48</v>
      </c>
      <c r="E145" s="12">
        <v>0.88</v>
      </c>
      <c r="F145" s="12">
        <v>1</v>
      </c>
      <c r="G145" s="12">
        <v>1</v>
      </c>
      <c r="H145" s="12">
        <v>1</v>
      </c>
    </row>
    <row r="147" spans="1:8" ht="30" customHeight="1" x14ac:dyDescent="0.45">
      <c r="A147" s="2" t="s">
        <v>49</v>
      </c>
      <c r="B147" s="2"/>
      <c r="C147" s="2"/>
      <c r="D147" s="2"/>
      <c r="E147" s="2"/>
      <c r="F147" s="2"/>
      <c r="G147" s="2"/>
      <c r="H147" s="2"/>
    </row>
  </sheetData>
  <mergeCells count="1">
    <mergeCell ref="A147:H14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style="9" customWidth="1"/>
    <col min="2" max="2" width="12" style="9" customWidth="1"/>
    <col min="3" max="3" width="46" style="9" customWidth="1"/>
    <col min="4" max="4" width="12" style="9" customWidth="1"/>
    <col min="5" max="7" width="10" style="9" customWidth="1"/>
    <col min="8" max="10" width="11" style="9" customWidth="1"/>
    <col min="11" max="11" width="13" style="9" customWidth="1"/>
    <col min="12" max="12" width="11" style="9" customWidth="1"/>
    <col min="13" max="13" width="12" style="9" customWidth="1"/>
  </cols>
  <sheetData>
    <row r="1" spans="1:13" ht="26.25" customHeight="1" x14ac:dyDescent="0.45">
      <c r="A1" s="10" t="s">
        <v>50</v>
      </c>
      <c r="B1" s="10" t="s">
        <v>17</v>
      </c>
      <c r="C1" s="10" t="s">
        <v>51</v>
      </c>
      <c r="D1" s="10" t="s">
        <v>18</v>
      </c>
      <c r="E1" s="10" t="s">
        <v>52</v>
      </c>
      <c r="F1" s="10" t="s">
        <v>53</v>
      </c>
      <c r="G1" s="10" t="s">
        <v>54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55</v>
      </c>
      <c r="M1" s="10" t="s">
        <v>56</v>
      </c>
    </row>
    <row r="2" spans="1:13" ht="15" customHeight="1" x14ac:dyDescent="0.45">
      <c r="A2" s="11" t="s">
        <v>57</v>
      </c>
      <c r="B2" s="11" t="s">
        <v>58</v>
      </c>
      <c r="C2" s="11" t="s">
        <v>59</v>
      </c>
      <c r="D2" s="11" t="s">
        <v>60</v>
      </c>
      <c r="E2" s="12">
        <v>0.75</v>
      </c>
      <c r="F2" s="12">
        <v>0.38</v>
      </c>
      <c r="G2" s="12">
        <v>0.45</v>
      </c>
      <c r="H2" s="12">
        <v>0.77</v>
      </c>
      <c r="I2" s="12">
        <v>0.94</v>
      </c>
      <c r="J2" s="12">
        <v>0.94</v>
      </c>
      <c r="K2" s="12">
        <v>1</v>
      </c>
      <c r="L2" s="12">
        <v>0.95</v>
      </c>
      <c r="M2" s="12">
        <v>1</v>
      </c>
    </row>
    <row r="3" spans="1:13" ht="15" customHeight="1" x14ac:dyDescent="0.45">
      <c r="A3" s="11" t="s">
        <v>57</v>
      </c>
      <c r="B3" s="11" t="s">
        <v>58</v>
      </c>
      <c r="C3" s="11" t="s">
        <v>61</v>
      </c>
      <c r="D3" s="11" t="s">
        <v>60</v>
      </c>
      <c r="E3" s="12">
        <v>0.75</v>
      </c>
      <c r="F3" s="12">
        <v>0</v>
      </c>
      <c r="G3" s="12">
        <v>0.25</v>
      </c>
      <c r="H3" s="12">
        <v>0.78</v>
      </c>
      <c r="I3" s="12">
        <v>0.89</v>
      </c>
      <c r="J3" s="12">
        <v>0.78</v>
      </c>
      <c r="K3" s="12">
        <v>0.95</v>
      </c>
      <c r="L3" s="12">
        <v>0.9</v>
      </c>
      <c r="M3" s="12">
        <v>0.95</v>
      </c>
    </row>
    <row r="4" spans="1:13" ht="15" customHeight="1" x14ac:dyDescent="0.45">
      <c r="A4" s="11" t="s">
        <v>57</v>
      </c>
      <c r="B4" s="11" t="s">
        <v>58</v>
      </c>
      <c r="C4" s="11" t="s">
        <v>62</v>
      </c>
      <c r="D4" s="11" t="s">
        <v>60</v>
      </c>
      <c r="E4" s="12">
        <v>0.25</v>
      </c>
      <c r="F4" s="12">
        <v>0.25</v>
      </c>
      <c r="G4" s="12">
        <v>0.25</v>
      </c>
      <c r="H4" s="12">
        <v>0.88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</row>
    <row r="5" spans="1:13" ht="15" customHeight="1" x14ac:dyDescent="0.45">
      <c r="A5" s="11" t="s">
        <v>57</v>
      </c>
      <c r="B5" s="11" t="s">
        <v>58</v>
      </c>
      <c r="C5" s="11" t="s">
        <v>63</v>
      </c>
      <c r="D5" s="11" t="s">
        <v>60</v>
      </c>
      <c r="E5" s="12">
        <v>0.44</v>
      </c>
      <c r="F5" s="12">
        <v>0.19</v>
      </c>
      <c r="G5" s="12">
        <v>0.27</v>
      </c>
      <c r="H5" s="12">
        <v>0.76</v>
      </c>
      <c r="I5" s="12">
        <v>0.89</v>
      </c>
      <c r="J5" s="12">
        <v>0.89</v>
      </c>
      <c r="K5" s="12">
        <v>0.89</v>
      </c>
      <c r="L5" s="12">
        <v>0.8</v>
      </c>
      <c r="M5" s="12">
        <v>0.86</v>
      </c>
    </row>
    <row r="6" spans="1:13" ht="15" customHeight="1" x14ac:dyDescent="0.45">
      <c r="A6" s="11" t="s">
        <v>57</v>
      </c>
      <c r="B6" s="11" t="s">
        <v>58</v>
      </c>
      <c r="C6" s="11" t="s">
        <v>64</v>
      </c>
      <c r="D6" s="11" t="s">
        <v>60</v>
      </c>
      <c r="E6" s="12">
        <v>0.44</v>
      </c>
      <c r="F6" s="12">
        <v>0.25</v>
      </c>
      <c r="G6" s="12">
        <v>0.37</v>
      </c>
      <c r="H6" s="12">
        <v>0.91</v>
      </c>
      <c r="I6" s="12">
        <v>0.85</v>
      </c>
      <c r="J6" s="12">
        <v>0.86</v>
      </c>
      <c r="K6" s="12">
        <v>0.94</v>
      </c>
      <c r="L6" s="12">
        <v>0.9</v>
      </c>
      <c r="M6" s="12">
        <v>0.92</v>
      </c>
    </row>
    <row r="7" spans="1:13" ht="15" customHeight="1" x14ac:dyDescent="0.45">
      <c r="A7" s="11" t="s">
        <v>57</v>
      </c>
      <c r="B7" s="11" t="s">
        <v>58</v>
      </c>
      <c r="C7" s="11" t="s">
        <v>65</v>
      </c>
      <c r="D7" s="11" t="s">
        <v>60</v>
      </c>
      <c r="E7" s="12">
        <v>0.56000000000000005</v>
      </c>
      <c r="F7" s="12">
        <v>0.31</v>
      </c>
      <c r="G7" s="12">
        <v>0.45</v>
      </c>
      <c r="H7" s="12">
        <v>0.64</v>
      </c>
      <c r="I7" s="12">
        <v>0.86</v>
      </c>
      <c r="J7" s="12">
        <v>0.94</v>
      </c>
      <c r="K7" s="12">
        <v>0.97</v>
      </c>
      <c r="L7" s="12">
        <v>0.9</v>
      </c>
      <c r="M7" s="12">
        <v>0.92</v>
      </c>
    </row>
    <row r="8" spans="1:13" ht="15" customHeight="1" x14ac:dyDescent="0.45">
      <c r="A8" s="11" t="s">
        <v>57</v>
      </c>
      <c r="B8" s="11" t="s">
        <v>58</v>
      </c>
      <c r="C8" s="11" t="s">
        <v>66</v>
      </c>
      <c r="D8" s="11" t="s">
        <v>60</v>
      </c>
      <c r="E8" s="12">
        <v>0.38</v>
      </c>
      <c r="F8" s="12">
        <v>0.25</v>
      </c>
      <c r="G8" s="12">
        <v>0.28999999999999998</v>
      </c>
      <c r="H8" s="12">
        <v>0.84</v>
      </c>
      <c r="I8" s="12">
        <v>0.9</v>
      </c>
      <c r="J8" s="12">
        <v>0.93</v>
      </c>
      <c r="K8" s="12">
        <v>0.99</v>
      </c>
      <c r="L8" s="12">
        <v>0.92</v>
      </c>
      <c r="M8" s="12">
        <v>0.99</v>
      </c>
    </row>
    <row r="9" spans="1:13" ht="15" customHeight="1" x14ac:dyDescent="0.45">
      <c r="A9" s="11" t="s">
        <v>57</v>
      </c>
      <c r="B9" s="11" t="s">
        <v>58</v>
      </c>
      <c r="C9" s="11" t="s">
        <v>67</v>
      </c>
      <c r="D9" s="11" t="s">
        <v>68</v>
      </c>
      <c r="E9" s="12">
        <v>0.75</v>
      </c>
      <c r="F9" s="12">
        <v>0.06</v>
      </c>
      <c r="G9" s="12">
        <v>0.15</v>
      </c>
      <c r="H9" s="12">
        <v>0.8</v>
      </c>
      <c r="I9" s="12">
        <v>1</v>
      </c>
      <c r="J9" s="12">
        <v>0.96</v>
      </c>
      <c r="K9" s="12">
        <v>1</v>
      </c>
      <c r="L9" s="12">
        <v>1</v>
      </c>
      <c r="M9" s="12">
        <v>1</v>
      </c>
    </row>
    <row r="10" spans="1:13" ht="15" customHeight="1" x14ac:dyDescent="0.45">
      <c r="A10" s="11" t="s">
        <v>57</v>
      </c>
      <c r="B10" s="11" t="s">
        <v>58</v>
      </c>
      <c r="C10" s="11" t="s">
        <v>69</v>
      </c>
      <c r="D10" s="11" t="s">
        <v>68</v>
      </c>
      <c r="E10" s="12">
        <v>0.75</v>
      </c>
      <c r="F10" s="12">
        <v>0.63</v>
      </c>
      <c r="G10" s="12">
        <v>0.63</v>
      </c>
      <c r="H10" s="12">
        <v>0.7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</row>
    <row r="11" spans="1:13" ht="15" customHeight="1" x14ac:dyDescent="0.45">
      <c r="A11" s="11" t="s">
        <v>57</v>
      </c>
      <c r="B11" s="11" t="s">
        <v>58</v>
      </c>
      <c r="C11" s="11" t="s">
        <v>70</v>
      </c>
      <c r="D11" s="11" t="s">
        <v>68</v>
      </c>
      <c r="E11" s="12">
        <v>0.75</v>
      </c>
      <c r="F11" s="12">
        <v>0.56000000000000005</v>
      </c>
      <c r="G11" s="12">
        <v>0.6</v>
      </c>
      <c r="H11" s="12">
        <v>0.72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</row>
    <row r="12" spans="1:13" ht="15" customHeight="1" x14ac:dyDescent="0.45">
      <c r="A12" s="11" t="s">
        <v>57</v>
      </c>
      <c r="B12" s="11" t="s">
        <v>58</v>
      </c>
      <c r="C12" s="11" t="s">
        <v>71</v>
      </c>
      <c r="D12" s="11" t="s">
        <v>68</v>
      </c>
      <c r="E12" s="12">
        <v>0.75</v>
      </c>
      <c r="F12" s="12">
        <v>0.38</v>
      </c>
      <c r="G12" s="12">
        <v>0.55000000000000004</v>
      </c>
      <c r="H12" s="12">
        <v>0.68</v>
      </c>
      <c r="I12" s="12">
        <v>1</v>
      </c>
      <c r="J12" s="12">
        <v>0.96</v>
      </c>
      <c r="K12" s="12">
        <v>1</v>
      </c>
      <c r="L12" s="12">
        <v>1</v>
      </c>
      <c r="M12" s="12">
        <v>1</v>
      </c>
    </row>
    <row r="13" spans="1:13" ht="15" customHeight="1" x14ac:dyDescent="0.45">
      <c r="A13" s="11" t="s">
        <v>57</v>
      </c>
      <c r="B13" s="11" t="s">
        <v>58</v>
      </c>
      <c r="C13" s="11" t="s">
        <v>72</v>
      </c>
      <c r="D13" s="11" t="s">
        <v>73</v>
      </c>
      <c r="E13" s="12">
        <v>0.13</v>
      </c>
      <c r="F13" s="12">
        <v>0</v>
      </c>
      <c r="G13" s="12">
        <v>0.06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</row>
    <row r="14" spans="1:13" ht="15" customHeight="1" x14ac:dyDescent="0.45">
      <c r="A14" s="11" t="s">
        <v>57</v>
      </c>
      <c r="B14" s="11" t="s">
        <v>58</v>
      </c>
      <c r="C14" s="11" t="s">
        <v>74</v>
      </c>
      <c r="D14" s="11" t="s">
        <v>73</v>
      </c>
      <c r="E14" s="12">
        <v>0.25</v>
      </c>
      <c r="F14" s="12">
        <v>0.13</v>
      </c>
      <c r="G14" s="12">
        <v>0.13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</row>
    <row r="15" spans="1:13" ht="15" customHeight="1" x14ac:dyDescent="0.45">
      <c r="A15" s="11" t="s">
        <v>57</v>
      </c>
      <c r="B15" s="11" t="s">
        <v>58</v>
      </c>
      <c r="C15" s="11" t="s">
        <v>75</v>
      </c>
      <c r="D15" s="11" t="s">
        <v>73</v>
      </c>
      <c r="E15" s="12">
        <v>0.13</v>
      </c>
      <c r="F15" s="12">
        <v>0</v>
      </c>
      <c r="G15" s="12">
        <v>0.06</v>
      </c>
      <c r="H15" s="12">
        <v>0.75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</row>
    <row r="16" spans="1:13" ht="15" customHeight="1" x14ac:dyDescent="0.45">
      <c r="A16" s="11" t="s">
        <v>57</v>
      </c>
      <c r="B16" s="11" t="s">
        <v>58</v>
      </c>
      <c r="C16" s="11" t="s">
        <v>76</v>
      </c>
      <c r="D16" s="11" t="s">
        <v>73</v>
      </c>
      <c r="E16" s="12">
        <v>0.25</v>
      </c>
      <c r="F16" s="12">
        <v>0</v>
      </c>
      <c r="G16" s="12">
        <v>0.06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</row>
    <row r="17" spans="1:13" ht="15" customHeight="1" x14ac:dyDescent="0.45">
      <c r="A17" s="11" t="s">
        <v>57</v>
      </c>
      <c r="B17" s="11" t="s">
        <v>58</v>
      </c>
      <c r="C17" s="11" t="s">
        <v>77</v>
      </c>
      <c r="D17" s="11" t="s">
        <v>73</v>
      </c>
      <c r="E17" s="12">
        <v>0.13</v>
      </c>
      <c r="F17" s="12">
        <v>0</v>
      </c>
      <c r="G17" s="12">
        <v>0.06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</row>
    <row r="18" spans="1:13" ht="15" customHeight="1" x14ac:dyDescent="0.45">
      <c r="A18" s="11" t="s">
        <v>57</v>
      </c>
      <c r="B18" s="11" t="s">
        <v>78</v>
      </c>
      <c r="C18" s="11" t="s">
        <v>59</v>
      </c>
      <c r="D18" s="11" t="s">
        <v>60</v>
      </c>
      <c r="E18" s="12">
        <v>0.75</v>
      </c>
      <c r="F18" s="12">
        <v>0.5</v>
      </c>
      <c r="G18" s="12">
        <v>0.6</v>
      </c>
      <c r="H18" s="12">
        <v>0.77</v>
      </c>
      <c r="I18" s="12">
        <v>0.94</v>
      </c>
      <c r="J18" s="12">
        <v>0.94</v>
      </c>
      <c r="K18" s="12">
        <v>1</v>
      </c>
      <c r="L18" s="12">
        <v>1</v>
      </c>
      <c r="M18" s="12">
        <v>1</v>
      </c>
    </row>
    <row r="19" spans="1:13" ht="15" customHeight="1" x14ac:dyDescent="0.45">
      <c r="A19" s="11" t="s">
        <v>57</v>
      </c>
      <c r="B19" s="11" t="s">
        <v>78</v>
      </c>
      <c r="C19" s="11" t="s">
        <v>61</v>
      </c>
      <c r="D19" s="11" t="s">
        <v>60</v>
      </c>
      <c r="E19" s="12">
        <v>0.5</v>
      </c>
      <c r="F19" s="12">
        <v>0.13</v>
      </c>
      <c r="G19" s="12">
        <v>0.41</v>
      </c>
      <c r="H19" s="12">
        <v>0.89</v>
      </c>
      <c r="I19" s="12">
        <v>0.95</v>
      </c>
      <c r="J19" s="12">
        <v>0.84</v>
      </c>
      <c r="K19" s="12">
        <v>0.95</v>
      </c>
      <c r="L19" s="12">
        <v>0.9</v>
      </c>
      <c r="M19" s="12">
        <v>0.95</v>
      </c>
    </row>
    <row r="20" spans="1:13" ht="15" customHeight="1" x14ac:dyDescent="0.45">
      <c r="A20" s="11" t="s">
        <v>57</v>
      </c>
      <c r="B20" s="11" t="s">
        <v>78</v>
      </c>
      <c r="C20" s="11" t="s">
        <v>62</v>
      </c>
      <c r="D20" s="11" t="s">
        <v>60</v>
      </c>
      <c r="E20" s="12">
        <v>0.25</v>
      </c>
      <c r="F20" s="12">
        <v>0.13</v>
      </c>
      <c r="G20" s="12">
        <v>0.21</v>
      </c>
      <c r="H20" s="12">
        <v>0.88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</row>
    <row r="21" spans="1:13" ht="15" customHeight="1" x14ac:dyDescent="0.45">
      <c r="A21" s="11" t="s">
        <v>57</v>
      </c>
      <c r="B21" s="11" t="s">
        <v>78</v>
      </c>
      <c r="C21" s="11" t="s">
        <v>63</v>
      </c>
      <c r="D21" s="11" t="s">
        <v>60</v>
      </c>
      <c r="E21" s="12">
        <v>0.44</v>
      </c>
      <c r="F21" s="12">
        <v>0.19</v>
      </c>
      <c r="G21" s="12">
        <v>0.32</v>
      </c>
      <c r="H21" s="12">
        <v>0.76</v>
      </c>
      <c r="I21" s="12">
        <v>0.95</v>
      </c>
      <c r="J21" s="12">
        <v>0.89</v>
      </c>
      <c r="K21" s="12">
        <v>0.89</v>
      </c>
      <c r="L21" s="12">
        <v>0.85</v>
      </c>
      <c r="M21" s="12">
        <v>0.97</v>
      </c>
    </row>
    <row r="22" spans="1:13" ht="15" customHeight="1" x14ac:dyDescent="0.45">
      <c r="A22" s="11" t="s">
        <v>57</v>
      </c>
      <c r="B22" s="11" t="s">
        <v>78</v>
      </c>
      <c r="C22" s="11" t="s">
        <v>64</v>
      </c>
      <c r="D22" s="11" t="s">
        <v>60</v>
      </c>
      <c r="E22" s="12">
        <v>0.5</v>
      </c>
      <c r="F22" s="12">
        <v>0.31</v>
      </c>
      <c r="G22" s="12">
        <v>0.43</v>
      </c>
      <c r="H22" s="12">
        <v>0.9</v>
      </c>
      <c r="I22" s="12">
        <v>0.9</v>
      </c>
      <c r="J22" s="12">
        <v>0.91</v>
      </c>
      <c r="K22" s="12">
        <v>0.94</v>
      </c>
      <c r="L22" s="12">
        <v>0.9</v>
      </c>
      <c r="M22" s="12">
        <v>0.97</v>
      </c>
    </row>
    <row r="23" spans="1:13" ht="15" customHeight="1" x14ac:dyDescent="0.45">
      <c r="A23" s="11" t="s">
        <v>57</v>
      </c>
      <c r="B23" s="11" t="s">
        <v>78</v>
      </c>
      <c r="C23" s="11" t="s">
        <v>65</v>
      </c>
      <c r="D23" s="11" t="s">
        <v>60</v>
      </c>
      <c r="E23" s="12">
        <v>0.25</v>
      </c>
      <c r="F23" s="12">
        <v>0.06</v>
      </c>
      <c r="G23" s="12">
        <v>0.12</v>
      </c>
      <c r="H23" s="12">
        <v>0.64</v>
      </c>
      <c r="I23" s="12">
        <v>0.91</v>
      </c>
      <c r="J23" s="12">
        <v>0.83</v>
      </c>
      <c r="K23" s="12">
        <v>0.89</v>
      </c>
      <c r="L23" s="12">
        <v>0.85</v>
      </c>
      <c r="M23" s="12">
        <v>0.89</v>
      </c>
    </row>
    <row r="24" spans="1:13" ht="15" customHeight="1" x14ac:dyDescent="0.45">
      <c r="A24" s="11" t="s">
        <v>57</v>
      </c>
      <c r="B24" s="11" t="s">
        <v>78</v>
      </c>
      <c r="C24" s="11" t="s">
        <v>66</v>
      </c>
      <c r="D24" s="11" t="s">
        <v>60</v>
      </c>
      <c r="E24" s="12">
        <v>0.5</v>
      </c>
      <c r="F24" s="12">
        <v>0.16</v>
      </c>
      <c r="G24" s="12">
        <v>0.25</v>
      </c>
      <c r="H24" s="12">
        <v>0.88</v>
      </c>
      <c r="I24" s="12">
        <v>0.95</v>
      </c>
      <c r="J24" s="12">
        <v>0.94</v>
      </c>
      <c r="K24" s="12">
        <v>0.97</v>
      </c>
      <c r="L24" s="12">
        <v>0.94</v>
      </c>
      <c r="M24" s="12">
        <v>0.97</v>
      </c>
    </row>
    <row r="25" spans="1:13" ht="15" customHeight="1" x14ac:dyDescent="0.45">
      <c r="A25" s="11" t="s">
        <v>57</v>
      </c>
      <c r="B25" s="11" t="s">
        <v>78</v>
      </c>
      <c r="C25" s="11" t="s">
        <v>67</v>
      </c>
      <c r="D25" s="11" t="s">
        <v>68</v>
      </c>
      <c r="E25" s="12">
        <v>0.75</v>
      </c>
      <c r="F25" s="12">
        <v>0.06</v>
      </c>
      <c r="G25" s="12">
        <v>7.0000000000000007E-2</v>
      </c>
      <c r="H25" s="12">
        <v>0.8</v>
      </c>
      <c r="I25" s="12">
        <v>1</v>
      </c>
      <c r="J25" s="12">
        <v>1</v>
      </c>
      <c r="K25" s="12">
        <v>1</v>
      </c>
      <c r="L25" s="12">
        <v>0.96</v>
      </c>
      <c r="M25" s="12">
        <v>0.96</v>
      </c>
    </row>
    <row r="26" spans="1:13" ht="15" customHeight="1" x14ac:dyDescent="0.45">
      <c r="A26" s="11" t="s">
        <v>57</v>
      </c>
      <c r="B26" s="11" t="s">
        <v>78</v>
      </c>
      <c r="C26" s="11" t="s">
        <v>69</v>
      </c>
      <c r="D26" s="11" t="s">
        <v>68</v>
      </c>
      <c r="E26" s="12">
        <v>0.75</v>
      </c>
      <c r="F26" s="12">
        <v>0.38</v>
      </c>
      <c r="G26" s="12">
        <v>0.45</v>
      </c>
      <c r="H26" s="12">
        <v>0.69</v>
      </c>
      <c r="I26" s="12">
        <v>1</v>
      </c>
      <c r="J26" s="12">
        <v>1</v>
      </c>
      <c r="K26" s="12">
        <v>1</v>
      </c>
      <c r="L26" s="12">
        <v>0.93</v>
      </c>
      <c r="M26" s="12">
        <v>0.93</v>
      </c>
    </row>
    <row r="27" spans="1:13" ht="15" customHeight="1" x14ac:dyDescent="0.45">
      <c r="A27" s="11" t="s">
        <v>57</v>
      </c>
      <c r="B27" s="11" t="s">
        <v>78</v>
      </c>
      <c r="C27" s="11" t="s">
        <v>70</v>
      </c>
      <c r="D27" s="11" t="s">
        <v>68</v>
      </c>
      <c r="E27" s="12">
        <v>0.75</v>
      </c>
      <c r="F27" s="12">
        <v>0.63</v>
      </c>
      <c r="G27" s="12">
        <v>0.65</v>
      </c>
      <c r="H27" s="12">
        <v>0.79</v>
      </c>
      <c r="I27" s="12">
        <v>1</v>
      </c>
      <c r="J27" s="12">
        <v>1</v>
      </c>
      <c r="K27" s="12">
        <v>1</v>
      </c>
      <c r="L27" s="12">
        <v>0.83</v>
      </c>
      <c r="M27" s="12">
        <v>0.83</v>
      </c>
    </row>
    <row r="28" spans="1:13" ht="15" customHeight="1" x14ac:dyDescent="0.45">
      <c r="A28" s="11" t="s">
        <v>57</v>
      </c>
      <c r="B28" s="11" t="s">
        <v>78</v>
      </c>
      <c r="C28" s="11" t="s">
        <v>71</v>
      </c>
      <c r="D28" s="11" t="s">
        <v>68</v>
      </c>
      <c r="E28" s="12">
        <v>0.75</v>
      </c>
      <c r="F28" s="12">
        <v>0.38</v>
      </c>
      <c r="G28" s="12">
        <v>0.55000000000000004</v>
      </c>
      <c r="H28" s="12">
        <v>0.68</v>
      </c>
      <c r="I28" s="12">
        <v>1</v>
      </c>
      <c r="J28" s="12">
        <v>1</v>
      </c>
      <c r="K28" s="12">
        <v>1</v>
      </c>
      <c r="L28" s="12">
        <v>0.59</v>
      </c>
      <c r="M28" s="12">
        <v>0.59</v>
      </c>
    </row>
    <row r="29" spans="1:13" ht="15" customHeight="1" x14ac:dyDescent="0.45">
      <c r="A29" s="11" t="s">
        <v>57</v>
      </c>
      <c r="B29" s="11" t="s">
        <v>78</v>
      </c>
      <c r="C29" s="11" t="s">
        <v>72</v>
      </c>
      <c r="D29" s="11" t="s">
        <v>73</v>
      </c>
      <c r="E29" s="12">
        <v>0.13</v>
      </c>
      <c r="F29" s="12">
        <v>0</v>
      </c>
      <c r="G29" s="12">
        <v>0.06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</row>
    <row r="30" spans="1:13" ht="15" customHeight="1" x14ac:dyDescent="0.45">
      <c r="A30" s="11" t="s">
        <v>57</v>
      </c>
      <c r="B30" s="11" t="s">
        <v>78</v>
      </c>
      <c r="C30" s="11" t="s">
        <v>74</v>
      </c>
      <c r="D30" s="11" t="s">
        <v>73</v>
      </c>
      <c r="E30" s="12">
        <v>0.38</v>
      </c>
      <c r="F30" s="12">
        <v>0.13</v>
      </c>
      <c r="G30" s="12">
        <v>0.18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</row>
    <row r="31" spans="1:13" ht="15" customHeight="1" x14ac:dyDescent="0.45">
      <c r="A31" s="11" t="s">
        <v>57</v>
      </c>
      <c r="B31" s="11" t="s">
        <v>78</v>
      </c>
      <c r="C31" s="11" t="s">
        <v>75</v>
      </c>
      <c r="D31" s="11" t="s">
        <v>73</v>
      </c>
      <c r="E31" s="12">
        <v>0.38</v>
      </c>
      <c r="F31" s="12">
        <v>0.38</v>
      </c>
      <c r="G31" s="12">
        <v>0.38</v>
      </c>
      <c r="H31" s="12">
        <v>0.75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</row>
    <row r="32" spans="1:13" ht="15" customHeight="1" x14ac:dyDescent="0.45">
      <c r="A32" s="11" t="s">
        <v>57</v>
      </c>
      <c r="B32" s="11" t="s">
        <v>78</v>
      </c>
      <c r="C32" s="11" t="s">
        <v>76</v>
      </c>
      <c r="D32" s="11" t="s">
        <v>73</v>
      </c>
      <c r="E32" s="12">
        <v>0.13</v>
      </c>
      <c r="F32" s="12">
        <v>0.13</v>
      </c>
      <c r="G32" s="12">
        <v>0.13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ht="15" customHeight="1" x14ac:dyDescent="0.45">
      <c r="A33" s="11" t="s">
        <v>57</v>
      </c>
      <c r="B33" s="11" t="s">
        <v>78</v>
      </c>
      <c r="C33" s="11" t="s">
        <v>77</v>
      </c>
      <c r="D33" s="11" t="s">
        <v>73</v>
      </c>
      <c r="E33" s="12">
        <v>0.13</v>
      </c>
      <c r="F33" s="12">
        <v>0</v>
      </c>
      <c r="G33" s="12">
        <v>0.06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ht="15" customHeight="1" x14ac:dyDescent="0.45">
      <c r="A34" s="11" t="s">
        <v>57</v>
      </c>
      <c r="B34" s="11" t="s">
        <v>79</v>
      </c>
      <c r="C34" s="11" t="s">
        <v>59</v>
      </c>
      <c r="D34" s="11" t="s">
        <v>60</v>
      </c>
      <c r="E34" s="12">
        <v>0.75</v>
      </c>
      <c r="F34" s="12">
        <v>0.38</v>
      </c>
      <c r="G34" s="12">
        <v>0.45</v>
      </c>
      <c r="H34" s="12">
        <v>0.71</v>
      </c>
      <c r="I34" s="12">
        <v>0.94</v>
      </c>
      <c r="J34" s="12">
        <v>0.71</v>
      </c>
      <c r="K34" s="12">
        <v>0.84</v>
      </c>
      <c r="L34" s="12">
        <v>0.8</v>
      </c>
      <c r="M34" s="12">
        <v>0.71</v>
      </c>
    </row>
    <row r="35" spans="1:13" ht="15" customHeight="1" x14ac:dyDescent="0.45">
      <c r="A35" s="11" t="s">
        <v>57</v>
      </c>
      <c r="B35" s="11" t="s">
        <v>79</v>
      </c>
      <c r="C35" s="11" t="s">
        <v>61</v>
      </c>
      <c r="D35" s="11" t="s">
        <v>60</v>
      </c>
      <c r="E35" s="12">
        <v>0.75</v>
      </c>
      <c r="F35" s="12">
        <v>0</v>
      </c>
      <c r="G35" s="12">
        <v>0.25</v>
      </c>
      <c r="H35" s="12">
        <v>0.89</v>
      </c>
      <c r="I35" s="12">
        <v>0.89</v>
      </c>
      <c r="J35" s="12">
        <v>0.95</v>
      </c>
      <c r="K35" s="12">
        <v>0.78</v>
      </c>
      <c r="L35" s="12">
        <v>0.78</v>
      </c>
      <c r="M35" s="12">
        <v>0.78</v>
      </c>
    </row>
    <row r="36" spans="1:13" ht="15" customHeight="1" x14ac:dyDescent="0.45">
      <c r="A36" s="11" t="s">
        <v>57</v>
      </c>
      <c r="B36" s="11" t="s">
        <v>79</v>
      </c>
      <c r="C36" s="11" t="s">
        <v>62</v>
      </c>
      <c r="D36" s="11" t="s">
        <v>60</v>
      </c>
      <c r="E36" s="12">
        <v>0.5</v>
      </c>
      <c r="F36" s="12">
        <v>0.25</v>
      </c>
      <c r="G36" s="12">
        <v>0.35</v>
      </c>
      <c r="H36" s="12">
        <v>0.88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ht="15" customHeight="1" x14ac:dyDescent="0.45">
      <c r="A37" s="11" t="s">
        <v>57</v>
      </c>
      <c r="B37" s="11" t="s">
        <v>79</v>
      </c>
      <c r="C37" s="11" t="s">
        <v>63</v>
      </c>
      <c r="D37" s="11" t="s">
        <v>60</v>
      </c>
      <c r="E37" s="12">
        <v>0.56000000000000005</v>
      </c>
      <c r="F37" s="12">
        <v>0</v>
      </c>
      <c r="G37" s="12">
        <v>0.2</v>
      </c>
      <c r="H37" s="12">
        <v>0.82</v>
      </c>
      <c r="I37" s="12">
        <v>0.82</v>
      </c>
      <c r="J37" s="12">
        <v>0.85</v>
      </c>
      <c r="K37" s="12">
        <v>0.72</v>
      </c>
      <c r="L37" s="12">
        <v>0.7</v>
      </c>
      <c r="M37" s="12">
        <v>0.81</v>
      </c>
    </row>
    <row r="38" spans="1:13" ht="15" customHeight="1" x14ac:dyDescent="0.45">
      <c r="A38" s="11" t="s">
        <v>57</v>
      </c>
      <c r="B38" s="11" t="s">
        <v>79</v>
      </c>
      <c r="C38" s="11" t="s">
        <v>64</v>
      </c>
      <c r="D38" s="11" t="s">
        <v>60</v>
      </c>
      <c r="E38" s="12">
        <v>0.44</v>
      </c>
      <c r="F38" s="12">
        <v>0.13</v>
      </c>
      <c r="G38" s="12">
        <v>0.16</v>
      </c>
      <c r="H38" s="12">
        <v>0.82</v>
      </c>
      <c r="I38" s="12">
        <v>0.91</v>
      </c>
      <c r="J38" s="12">
        <v>0.88</v>
      </c>
      <c r="K38" s="12">
        <v>0.93</v>
      </c>
      <c r="L38" s="12">
        <v>0.9</v>
      </c>
      <c r="M38" s="12">
        <v>0.9</v>
      </c>
    </row>
    <row r="39" spans="1:13" ht="15" customHeight="1" x14ac:dyDescent="0.45">
      <c r="A39" s="11" t="s">
        <v>57</v>
      </c>
      <c r="B39" s="11" t="s">
        <v>79</v>
      </c>
      <c r="C39" s="11" t="s">
        <v>65</v>
      </c>
      <c r="D39" s="11" t="s">
        <v>60</v>
      </c>
      <c r="E39" s="12">
        <v>0.06</v>
      </c>
      <c r="F39" s="12">
        <v>0</v>
      </c>
      <c r="G39" s="12">
        <v>0.03</v>
      </c>
      <c r="H39" s="12">
        <v>0.61</v>
      </c>
      <c r="I39" s="12">
        <v>0.67</v>
      </c>
      <c r="J39" s="12">
        <v>0.34</v>
      </c>
      <c r="K39" s="12">
        <v>0.64</v>
      </c>
      <c r="L39" s="12">
        <v>0.6</v>
      </c>
      <c r="M39" s="12">
        <v>0.7</v>
      </c>
    </row>
    <row r="40" spans="1:13" ht="15" customHeight="1" x14ac:dyDescent="0.45">
      <c r="A40" s="11" t="s">
        <v>57</v>
      </c>
      <c r="B40" s="11" t="s">
        <v>79</v>
      </c>
      <c r="C40" s="11" t="s">
        <v>66</v>
      </c>
      <c r="D40" s="11" t="s">
        <v>60</v>
      </c>
      <c r="E40" s="12">
        <v>0.66</v>
      </c>
      <c r="F40" s="12">
        <v>0.16</v>
      </c>
      <c r="G40" s="12">
        <v>0.2</v>
      </c>
      <c r="H40" s="12">
        <v>0.86</v>
      </c>
      <c r="I40" s="12">
        <v>0.96</v>
      </c>
      <c r="J40" s="12">
        <v>0.9</v>
      </c>
      <c r="K40" s="12">
        <v>0.89</v>
      </c>
      <c r="L40" s="12">
        <v>0.85</v>
      </c>
      <c r="M40" s="12">
        <v>0.9</v>
      </c>
    </row>
    <row r="41" spans="1:13" ht="15" customHeight="1" x14ac:dyDescent="0.45">
      <c r="A41" s="11" t="s">
        <v>57</v>
      </c>
      <c r="B41" s="11" t="s">
        <v>79</v>
      </c>
      <c r="C41" s="11" t="s">
        <v>67</v>
      </c>
      <c r="D41" s="11" t="s">
        <v>68</v>
      </c>
      <c r="E41" s="12">
        <v>0.75</v>
      </c>
      <c r="F41" s="12">
        <v>0</v>
      </c>
      <c r="G41" s="12">
        <v>0.25</v>
      </c>
      <c r="H41" s="12">
        <v>0.8</v>
      </c>
      <c r="I41" s="12">
        <v>1</v>
      </c>
      <c r="J41" s="12">
        <v>1</v>
      </c>
      <c r="K41" s="12">
        <v>1</v>
      </c>
      <c r="L41" s="12">
        <v>1</v>
      </c>
      <c r="M41" s="12">
        <v>0.96</v>
      </c>
    </row>
    <row r="42" spans="1:13" ht="15" customHeight="1" x14ac:dyDescent="0.45">
      <c r="A42" s="11" t="s">
        <v>57</v>
      </c>
      <c r="B42" s="11" t="s">
        <v>79</v>
      </c>
      <c r="C42" s="11" t="s">
        <v>69</v>
      </c>
      <c r="D42" s="11" t="s">
        <v>68</v>
      </c>
      <c r="E42" s="12">
        <v>0.75</v>
      </c>
      <c r="F42" s="12">
        <v>0</v>
      </c>
      <c r="G42" s="12">
        <v>0.25</v>
      </c>
      <c r="H42" s="12">
        <v>0.7</v>
      </c>
      <c r="I42" s="12">
        <v>1</v>
      </c>
      <c r="J42" s="12">
        <v>1</v>
      </c>
      <c r="K42" s="12">
        <v>1</v>
      </c>
      <c r="L42" s="12">
        <v>1</v>
      </c>
      <c r="M42" s="12">
        <v>1</v>
      </c>
    </row>
    <row r="43" spans="1:13" ht="15" customHeight="1" x14ac:dyDescent="0.45">
      <c r="A43" s="11" t="s">
        <v>57</v>
      </c>
      <c r="B43" s="11" t="s">
        <v>79</v>
      </c>
      <c r="C43" s="11" t="s">
        <v>70</v>
      </c>
      <c r="D43" s="11" t="s">
        <v>68</v>
      </c>
      <c r="E43" s="12">
        <v>0.75</v>
      </c>
      <c r="F43" s="12">
        <v>0</v>
      </c>
      <c r="G43" s="12">
        <v>0.25</v>
      </c>
      <c r="H43" s="12">
        <v>0.41</v>
      </c>
      <c r="I43" s="12">
        <v>0.76</v>
      </c>
      <c r="J43" s="12">
        <v>1</v>
      </c>
      <c r="K43" s="12">
        <v>0.76</v>
      </c>
      <c r="L43" s="12">
        <v>0.72</v>
      </c>
      <c r="M43" s="12">
        <v>0.63</v>
      </c>
    </row>
    <row r="44" spans="1:13" ht="15" customHeight="1" x14ac:dyDescent="0.45">
      <c r="A44" s="11" t="s">
        <v>57</v>
      </c>
      <c r="B44" s="11" t="s">
        <v>79</v>
      </c>
      <c r="C44" s="11" t="s">
        <v>71</v>
      </c>
      <c r="D44" s="11" t="s">
        <v>68</v>
      </c>
      <c r="E44" s="12">
        <v>0.75</v>
      </c>
      <c r="F44" s="12">
        <v>0</v>
      </c>
      <c r="G44" s="12">
        <v>0.25</v>
      </c>
      <c r="H44" s="12">
        <v>0.64</v>
      </c>
      <c r="I44" s="12">
        <v>1</v>
      </c>
      <c r="J44" s="12">
        <v>0.96</v>
      </c>
      <c r="K44" s="12">
        <v>1</v>
      </c>
      <c r="L44" s="12">
        <v>1</v>
      </c>
      <c r="M44" s="12">
        <v>0.96</v>
      </c>
    </row>
    <row r="45" spans="1:13" ht="15" customHeight="1" x14ac:dyDescent="0.45">
      <c r="A45" s="11" t="s">
        <v>57</v>
      </c>
      <c r="B45" s="11" t="s">
        <v>79</v>
      </c>
      <c r="C45" s="11" t="s">
        <v>72</v>
      </c>
      <c r="D45" s="11" t="s">
        <v>73</v>
      </c>
      <c r="E45" s="12">
        <v>0.25</v>
      </c>
      <c r="F45" s="12">
        <v>0</v>
      </c>
      <c r="G45" s="12">
        <v>0.03</v>
      </c>
      <c r="H45" s="12">
        <v>0.5</v>
      </c>
      <c r="I45" s="12">
        <v>1</v>
      </c>
      <c r="J45" s="12">
        <v>1</v>
      </c>
      <c r="K45" s="12">
        <v>1</v>
      </c>
      <c r="L45" s="12">
        <v>1</v>
      </c>
      <c r="M45" s="12">
        <v>1</v>
      </c>
    </row>
    <row r="46" spans="1:13" ht="15" customHeight="1" x14ac:dyDescent="0.45">
      <c r="A46" s="11" t="s">
        <v>57</v>
      </c>
      <c r="B46" s="11" t="s">
        <v>79</v>
      </c>
      <c r="C46" s="11" t="s">
        <v>74</v>
      </c>
      <c r="D46" s="11" t="s">
        <v>73</v>
      </c>
      <c r="E46" s="12">
        <v>0</v>
      </c>
      <c r="F46" s="12">
        <v>0</v>
      </c>
      <c r="G46" s="12">
        <v>0</v>
      </c>
      <c r="H46" s="12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</row>
    <row r="47" spans="1:13" ht="15" customHeight="1" x14ac:dyDescent="0.45">
      <c r="A47" s="11" t="s">
        <v>57</v>
      </c>
      <c r="B47" s="11" t="s">
        <v>79</v>
      </c>
      <c r="C47" s="11" t="s">
        <v>75</v>
      </c>
      <c r="D47" s="11" t="s">
        <v>73</v>
      </c>
      <c r="E47" s="12">
        <v>0.25</v>
      </c>
      <c r="F47" s="12">
        <v>0</v>
      </c>
      <c r="G47" s="12">
        <v>0.03</v>
      </c>
      <c r="H47" s="12">
        <v>0.75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</row>
    <row r="48" spans="1:13" ht="15" customHeight="1" x14ac:dyDescent="0.45">
      <c r="A48" s="11" t="s">
        <v>57</v>
      </c>
      <c r="B48" s="11" t="s">
        <v>79</v>
      </c>
      <c r="C48" s="11" t="s">
        <v>76</v>
      </c>
      <c r="D48" s="11" t="s">
        <v>73</v>
      </c>
      <c r="E48" s="12">
        <v>0.13</v>
      </c>
      <c r="F48" s="12">
        <v>0</v>
      </c>
      <c r="G48" s="12">
        <v>0.05</v>
      </c>
      <c r="H48" s="12">
        <v>0.25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</row>
    <row r="49" spans="1:13" ht="15" customHeight="1" x14ac:dyDescent="0.45">
      <c r="A49" s="11" t="s">
        <v>57</v>
      </c>
      <c r="B49" s="11" t="s">
        <v>79</v>
      </c>
      <c r="C49" s="11" t="s">
        <v>77</v>
      </c>
      <c r="D49" s="11" t="s">
        <v>73</v>
      </c>
      <c r="E49" s="12">
        <v>0.13</v>
      </c>
      <c r="F49" s="12">
        <v>0</v>
      </c>
      <c r="G49" s="12">
        <v>0.05</v>
      </c>
      <c r="H49" s="12">
        <v>1</v>
      </c>
      <c r="I49" s="12">
        <v>1</v>
      </c>
      <c r="J49" s="12">
        <v>1</v>
      </c>
      <c r="K49" s="12">
        <v>1</v>
      </c>
      <c r="L49" s="12">
        <v>1</v>
      </c>
      <c r="M49" s="12">
        <v>1</v>
      </c>
    </row>
    <row r="51" spans="1:13" ht="30" customHeight="1" x14ac:dyDescent="0.45">
      <c r="A51" s="2" t="s">
        <v>80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mergeCells count="1">
    <mergeCell ref="A51:M5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/>
  </sheetViews>
  <sheetFormatPr defaultColWidth="8.6640625" defaultRowHeight="14.25" x14ac:dyDescent="0.45"/>
  <cols>
    <col min="1" max="1" width="34" style="9" customWidth="1"/>
    <col min="2" max="2" width="12" style="9" customWidth="1"/>
    <col min="3" max="3" width="6" style="9" customWidth="1"/>
    <col min="4" max="4" width="40" style="9" customWidth="1"/>
    <col min="5" max="5" width="10" style="9" customWidth="1"/>
  </cols>
  <sheetData>
    <row r="1" spans="1:5" ht="15" customHeight="1" x14ac:dyDescent="0.45">
      <c r="A1" s="13" t="s">
        <v>81</v>
      </c>
    </row>
    <row r="2" spans="1:5" ht="15" customHeight="1" x14ac:dyDescent="0.45">
      <c r="A2" s="14" t="s">
        <v>82</v>
      </c>
    </row>
    <row r="4" spans="1:5" ht="15" customHeight="1" x14ac:dyDescent="0.45">
      <c r="A4" s="10" t="s">
        <v>83</v>
      </c>
      <c r="B4" s="10" t="s">
        <v>84</v>
      </c>
      <c r="C4" s="10" t="s">
        <v>85</v>
      </c>
      <c r="D4" s="10" t="s">
        <v>86</v>
      </c>
      <c r="E4" s="10" t="s">
        <v>87</v>
      </c>
    </row>
    <row r="5" spans="1:5" ht="15" customHeight="1" x14ac:dyDescent="0.45">
      <c r="A5" s="11" t="s">
        <v>88</v>
      </c>
      <c r="B5" s="12">
        <f>AVERAGE(Raw_Recall_AllBackbones!E2:E145)</f>
        <v>0.72701388888888829</v>
      </c>
      <c r="C5" s="11">
        <f>COUNT(Raw_Recall_AllBackbones!E2:E145)</f>
        <v>144</v>
      </c>
      <c r="D5" s="11" t="s">
        <v>89</v>
      </c>
    </row>
    <row r="6" spans="1:5" ht="15" customHeight="1" x14ac:dyDescent="0.45">
      <c r="A6" s="11" t="s">
        <v>90</v>
      </c>
      <c r="B6" s="12">
        <f>AVERAGE(Raw_Recall_AllBackbones!F2:F145)</f>
        <v>0.89159722222222215</v>
      </c>
      <c r="C6" s="11">
        <f>COUNT(Raw_Recall_AllBackbones!F2:F145)</f>
        <v>144</v>
      </c>
      <c r="D6" s="11" t="s">
        <v>89</v>
      </c>
    </row>
    <row r="7" spans="1:5" ht="15" customHeight="1" x14ac:dyDescent="0.45">
      <c r="A7" s="11" t="s">
        <v>91</v>
      </c>
      <c r="B7" s="12">
        <f>AVERAGE(Raw_Recall_AllBackbones!G2:G145)</f>
        <v>0.86402777777777751</v>
      </c>
      <c r="C7" s="11">
        <f>COUNT(Raw_Recall_AllBackbones!G2:G145)</f>
        <v>144</v>
      </c>
      <c r="D7" s="11" t="s">
        <v>89</v>
      </c>
    </row>
    <row r="8" spans="1:5" ht="15" customHeight="1" x14ac:dyDescent="0.45">
      <c r="A8" s="11" t="s">
        <v>92</v>
      </c>
      <c r="B8" s="12">
        <f>AVERAGE(Raw_Gemma_FakeAccept_Recall!M2:M49)</f>
        <v>0.93854166666666672</v>
      </c>
      <c r="C8" s="11">
        <f>COUNT(Raw_Gemma_FakeAccept_Recall!M2:M49)</f>
        <v>48</v>
      </c>
      <c r="D8" s="11" t="s">
        <v>93</v>
      </c>
    </row>
    <row r="9" spans="1:5" ht="15" customHeight="1" x14ac:dyDescent="0.45">
      <c r="A9" s="11" t="s">
        <v>94</v>
      </c>
      <c r="B9" s="12">
        <f>AVERAGE(Raw_Recall_AllBackbones!H2:H145)</f>
        <v>0.86444444444444446</v>
      </c>
      <c r="C9" s="11">
        <f>COUNT(Raw_Recall_AllBackbones!H2:H145)</f>
        <v>144</v>
      </c>
      <c r="D9" s="11" t="s">
        <v>89</v>
      </c>
    </row>
    <row r="11" spans="1:5" ht="15" customHeight="1" x14ac:dyDescent="0.45">
      <c r="A11" s="13" t="s">
        <v>95</v>
      </c>
    </row>
    <row r="12" spans="1:5" ht="15" customHeight="1" x14ac:dyDescent="0.45">
      <c r="A12" s="11" t="s">
        <v>96</v>
      </c>
      <c r="B12" s="15">
        <v>0.72699999999999998</v>
      </c>
    </row>
    <row r="13" spans="1:5" ht="15" customHeight="1" x14ac:dyDescent="0.45">
      <c r="A13" s="11" t="s">
        <v>97</v>
      </c>
      <c r="B13" s="15">
        <v>0.89200000000000002</v>
      </c>
    </row>
    <row r="14" spans="1:5" ht="15" customHeight="1" x14ac:dyDescent="0.45">
      <c r="A14" s="11" t="s">
        <v>98</v>
      </c>
      <c r="B14" s="15">
        <v>0.86399999999999999</v>
      </c>
    </row>
    <row r="15" spans="1:5" ht="15" customHeight="1" x14ac:dyDescent="0.45">
      <c r="A15" s="11" t="s">
        <v>99</v>
      </c>
      <c r="B15" s="15">
        <v>0.88800000000000001</v>
      </c>
    </row>
    <row r="16" spans="1:5" ht="15" customHeight="1" x14ac:dyDescent="0.45">
      <c r="A16" s="11" t="s">
        <v>100</v>
      </c>
      <c r="B16" s="15">
        <v>0.86399999999999999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/>
  </sheetViews>
  <sheetFormatPr defaultColWidth="8.6640625" defaultRowHeight="14.25" x14ac:dyDescent="0.45"/>
  <cols>
    <col min="1" max="1" width="30" style="9" customWidth="1"/>
    <col min="2" max="4" width="18" style="9" customWidth="1"/>
    <col min="5" max="5" width="8" style="9" customWidth="1"/>
  </cols>
  <sheetData>
    <row r="1" spans="1:5" ht="15" customHeight="1" x14ac:dyDescent="0.45">
      <c r="A1" s="13" t="s">
        <v>101</v>
      </c>
    </row>
    <row r="2" spans="1:5" ht="15" customHeight="1" x14ac:dyDescent="0.45">
      <c r="A2" s="14" t="s">
        <v>102</v>
      </c>
    </row>
    <row r="4" spans="1:5" ht="15" customHeight="1" x14ac:dyDescent="0.45">
      <c r="A4" s="10" t="s">
        <v>18</v>
      </c>
      <c r="B4" s="10" t="s">
        <v>103</v>
      </c>
      <c r="C4" s="10" t="s">
        <v>104</v>
      </c>
      <c r="D4" s="10" t="s">
        <v>105</v>
      </c>
      <c r="E4" s="10" t="s">
        <v>85</v>
      </c>
    </row>
    <row r="5" spans="1:5" ht="15" customHeight="1" x14ac:dyDescent="0.45">
      <c r="A5" s="11" t="s">
        <v>106</v>
      </c>
      <c r="B5" s="12">
        <f>AVERAGE(Raw_Gemma_FakeAccept_Recall!E2:E49)</f>
        <v>0.46416666666666667</v>
      </c>
      <c r="C5" s="12">
        <f>AVERAGE(Raw_Gemma_FakeAccept_Recall!F2:F49)</f>
        <v>0.16416666666666666</v>
      </c>
      <c r="D5" s="12">
        <f>AVERAGE(Raw_Gemma_FakeAccept_Recall!G2:G49)</f>
        <v>0.25624999999999998</v>
      </c>
      <c r="E5" s="11">
        <f>COUNT(Raw_Gemma_FakeAccept_Recall!E2:E49)</f>
        <v>48</v>
      </c>
    </row>
    <row r="6" spans="1:5" ht="15" customHeight="1" x14ac:dyDescent="0.45">
      <c r="A6" s="11" t="s">
        <v>26</v>
      </c>
      <c r="B6" s="12">
        <f>AVERAGEIF(Raw_Gemma_FakeAccept_Recall!D2:D49,"medical",Raw_Gemma_FakeAccept_Recall!E2:E49)</f>
        <v>0.49904761904761913</v>
      </c>
      <c r="C6" s="12">
        <f>AVERAGEIF(Raw_Gemma_FakeAccept_Recall!D2:D49,"medical",Raw_Gemma_FakeAccept_Recall!F2:F49)</f>
        <v>0.19190476190476188</v>
      </c>
      <c r="D6" s="12">
        <f>AVERAGEIF(Raw_Gemma_FakeAccept_Recall!D2:D49,"medical",Raw_Gemma_FakeAccept_Recall!G2:G49)</f>
        <v>0.30047619047619051</v>
      </c>
      <c r="E6" s="11">
        <f>COUNTIF(Raw_Gemma_FakeAccept_Recall!D2:D49,"medical")</f>
        <v>21</v>
      </c>
    </row>
    <row r="7" spans="1:5" ht="15" customHeight="1" x14ac:dyDescent="0.45">
      <c r="A7" s="11" t="s">
        <v>38</v>
      </c>
      <c r="B7" s="12">
        <f>AVERAGEIF(Raw_Gemma_FakeAccept_Recall!D2:D49,"geographic",Raw_Gemma_FakeAccept_Recall!E2:E49)</f>
        <v>0.75</v>
      </c>
      <c r="C7" s="12">
        <f>AVERAGEIF(Raw_Gemma_FakeAccept_Recall!D2:D49,"geographic",Raw_Gemma_FakeAccept_Recall!F2:F49)</f>
        <v>0.25666666666666665</v>
      </c>
      <c r="D7" s="12">
        <f>AVERAGEIF(Raw_Gemma_FakeAccept_Recall!D2:D49,"geographic",Raw_Gemma_FakeAccept_Recall!G2:G49)</f>
        <v>0.38750000000000001</v>
      </c>
      <c r="E7" s="11">
        <f>COUNTIF(Raw_Gemma_FakeAccept_Recall!D2:D49,"geographic")</f>
        <v>12</v>
      </c>
    </row>
    <row r="8" spans="1:5" ht="15" customHeight="1" x14ac:dyDescent="0.45">
      <c r="A8" s="11" t="s">
        <v>43</v>
      </c>
      <c r="B8" s="12">
        <f>AVERAGEIF(Raw_Gemma_FakeAccept_Recall!D2:D49,"general",Raw_Gemma_FakeAccept_Recall!E2:E49)</f>
        <v>0.18666666666666662</v>
      </c>
      <c r="C8" s="12">
        <f>AVERAGEIF(Raw_Gemma_FakeAccept_Recall!D2:D49,"general",Raw_Gemma_FakeAccept_Recall!F2:F49)</f>
        <v>5.1333333333333335E-2</v>
      </c>
      <c r="D8" s="12">
        <f>AVERAGEIF(Raw_Gemma_FakeAccept_Recall!D2:D49,"general",Raw_Gemma_FakeAccept_Recall!G2:G49)</f>
        <v>8.9333333333333348E-2</v>
      </c>
      <c r="E8" s="11">
        <f>COUNTIF(Raw_Gemma_FakeAccept_Recall!D2:D49,"general")</f>
        <v>15</v>
      </c>
    </row>
    <row r="11" spans="1:5" ht="15" customHeight="1" x14ac:dyDescent="0.45">
      <c r="A11" s="13" t="s">
        <v>107</v>
      </c>
    </row>
    <row r="12" spans="1:5" ht="15" customHeight="1" x14ac:dyDescent="0.45">
      <c r="A12" s="11" t="s">
        <v>108</v>
      </c>
      <c r="B12" s="11">
        <f>SUMPRODUCT((Raw_Gemma_FakeAccept_Recall!F2:F49&lt;Raw_Gemma_FakeAccept_Recall!G2:G49)*1)</f>
        <v>42</v>
      </c>
    </row>
    <row r="13" spans="1:5" ht="15" customHeight="1" x14ac:dyDescent="0.45">
      <c r="A13" s="11" t="s">
        <v>109</v>
      </c>
      <c r="B13" s="11">
        <f>SUMPRODUCT((Raw_Gemma_FakeAccept_Recall!F2:F49=Raw_Gemma_FakeAccept_Recall!G2:G49)*1)</f>
        <v>6</v>
      </c>
    </row>
    <row r="14" spans="1:5" ht="15" customHeight="1" x14ac:dyDescent="0.45">
      <c r="A14" s="11" t="s">
        <v>110</v>
      </c>
      <c r="B14" s="11">
        <f>SUMPRODUCT((Raw_Gemma_FakeAccept_Recall!F2:F49&gt;Raw_Gemma_FakeAccept_Recall!G2:G49)*1)</f>
        <v>0</v>
      </c>
    </row>
    <row r="17" spans="1:5" ht="15" customHeight="1" x14ac:dyDescent="0.45">
      <c r="A17" s="13" t="s">
        <v>111</v>
      </c>
    </row>
    <row r="18" spans="1:5" ht="15" customHeight="1" x14ac:dyDescent="0.45">
      <c r="A18" s="11" t="s">
        <v>112</v>
      </c>
      <c r="B18" s="15">
        <f>AVERAGE(Raw_Gemma_FakeAccept_Recall!I2:I49)</f>
        <v>0.9558333333333332</v>
      </c>
    </row>
    <row r="19" spans="1:5" ht="15" customHeight="1" x14ac:dyDescent="0.45">
      <c r="A19" s="11" t="s">
        <v>113</v>
      </c>
      <c r="B19" s="15">
        <f>AVERAGE(Raw_Gemma_FakeAccept_Recall!K2:K49)</f>
        <v>0.9570833333333334</v>
      </c>
    </row>
    <row r="20" spans="1:5" ht="15" customHeight="1" x14ac:dyDescent="0.45">
      <c r="A20" s="11" t="s">
        <v>114</v>
      </c>
      <c r="B20" s="15">
        <f>AVERAGE(Raw_Gemma_FakeAccept_Recall!L2:L49)</f>
        <v>0.92645833333333349</v>
      </c>
    </row>
    <row r="23" spans="1:5" ht="30" customHeight="1" x14ac:dyDescent="0.45">
      <c r="A23" s="2" t="s">
        <v>115</v>
      </c>
      <c r="B23" s="2"/>
      <c r="C23" s="2"/>
      <c r="D23" s="2"/>
      <c r="E23" s="2"/>
    </row>
  </sheetData>
  <mergeCells count="1"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42" customWidth="1"/>
    <col min="2" max="2" width="24" customWidth="1"/>
    <col min="3" max="3" width="18" customWidth="1"/>
    <col min="4" max="4" width="46" customWidth="1"/>
    <col min="5" max="6" width="12" customWidth="1"/>
  </cols>
  <sheetData>
    <row r="1" spans="1:6" x14ac:dyDescent="0.45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52</v>
      </c>
      <c r="F1" s="10" t="s">
        <v>53</v>
      </c>
    </row>
    <row r="2" spans="1:6" x14ac:dyDescent="0.45">
      <c r="A2" s="16" t="s">
        <v>24</v>
      </c>
      <c r="B2" s="16" t="s">
        <v>25</v>
      </c>
      <c r="C2" s="16" t="s">
        <v>26</v>
      </c>
      <c r="D2" s="16" t="s">
        <v>27</v>
      </c>
      <c r="E2" s="17">
        <v>0.75</v>
      </c>
      <c r="F2" s="17">
        <v>0.38</v>
      </c>
    </row>
    <row r="3" spans="1:6" x14ac:dyDescent="0.45">
      <c r="A3" s="16" t="s">
        <v>24</v>
      </c>
      <c r="B3" s="16" t="s">
        <v>28</v>
      </c>
      <c r="C3" s="16" t="s">
        <v>26</v>
      </c>
      <c r="D3" s="16" t="s">
        <v>27</v>
      </c>
      <c r="E3" s="17">
        <v>0.75</v>
      </c>
      <c r="F3" s="17">
        <v>0.5</v>
      </c>
    </row>
    <row r="4" spans="1:6" x14ac:dyDescent="0.45">
      <c r="A4" s="16" t="s">
        <v>24</v>
      </c>
      <c r="B4" s="16" t="s">
        <v>29</v>
      </c>
      <c r="C4" s="16" t="s">
        <v>26</v>
      </c>
      <c r="D4" s="16" t="s">
        <v>27</v>
      </c>
      <c r="E4" s="17">
        <v>0.75</v>
      </c>
      <c r="F4" s="17">
        <v>0.38</v>
      </c>
    </row>
    <row r="5" spans="1:6" x14ac:dyDescent="0.45">
      <c r="A5" s="16" t="s">
        <v>30</v>
      </c>
      <c r="B5" s="16" t="s">
        <v>25</v>
      </c>
      <c r="C5" s="16" t="s">
        <v>26</v>
      </c>
      <c r="D5" s="16" t="s">
        <v>27</v>
      </c>
      <c r="E5" s="17">
        <v>0.5</v>
      </c>
      <c r="F5" s="17">
        <v>0</v>
      </c>
    </row>
    <row r="6" spans="1:6" x14ac:dyDescent="0.45">
      <c r="A6" s="16" t="s">
        <v>30</v>
      </c>
      <c r="B6" s="16" t="s">
        <v>28</v>
      </c>
      <c r="C6" s="16" t="s">
        <v>26</v>
      </c>
      <c r="D6" s="16" t="s">
        <v>27</v>
      </c>
      <c r="E6" s="17">
        <v>0.5</v>
      </c>
      <c r="F6" s="17">
        <v>0.13</v>
      </c>
    </row>
    <row r="7" spans="1:6" x14ac:dyDescent="0.45">
      <c r="A7" s="16" t="s">
        <v>30</v>
      </c>
      <c r="B7" s="16" t="s">
        <v>29</v>
      </c>
      <c r="C7" s="16" t="s">
        <v>26</v>
      </c>
      <c r="D7" s="16" t="s">
        <v>27</v>
      </c>
      <c r="E7" s="17">
        <v>0.5</v>
      </c>
      <c r="F7" s="17">
        <v>0.25</v>
      </c>
    </row>
    <row r="8" spans="1:6" x14ac:dyDescent="0.45">
      <c r="A8" s="16" t="s">
        <v>31</v>
      </c>
      <c r="B8" s="16" t="s">
        <v>25</v>
      </c>
      <c r="C8" s="16" t="s">
        <v>26</v>
      </c>
      <c r="D8" s="16" t="s">
        <v>27</v>
      </c>
      <c r="E8" s="17">
        <v>0.75</v>
      </c>
      <c r="F8" s="17">
        <v>0.5</v>
      </c>
    </row>
    <row r="9" spans="1:6" x14ac:dyDescent="0.45">
      <c r="A9" s="16" t="s">
        <v>31</v>
      </c>
      <c r="B9" s="16" t="s">
        <v>28</v>
      </c>
      <c r="C9" s="16" t="s">
        <v>26</v>
      </c>
      <c r="D9" s="16" t="s">
        <v>27</v>
      </c>
      <c r="E9" s="17">
        <v>0.5</v>
      </c>
      <c r="F9" s="17">
        <v>0.13</v>
      </c>
    </row>
    <row r="10" spans="1:6" x14ac:dyDescent="0.45">
      <c r="A10" s="16" t="s">
        <v>31</v>
      </c>
      <c r="B10" s="16" t="s">
        <v>29</v>
      </c>
      <c r="C10" s="16" t="s">
        <v>26</v>
      </c>
      <c r="D10" s="16" t="s">
        <v>27</v>
      </c>
      <c r="E10" s="17">
        <v>0.75</v>
      </c>
      <c r="F10" s="17">
        <v>0.25</v>
      </c>
    </row>
    <row r="11" spans="1:6" x14ac:dyDescent="0.45">
      <c r="A11" s="16" t="s">
        <v>24</v>
      </c>
      <c r="B11" s="16" t="s">
        <v>25</v>
      </c>
      <c r="C11" s="16" t="s">
        <v>26</v>
      </c>
      <c r="D11" s="16" t="s">
        <v>32</v>
      </c>
      <c r="E11" s="17">
        <v>0.75</v>
      </c>
      <c r="F11" s="17">
        <v>0</v>
      </c>
    </row>
    <row r="12" spans="1:6" x14ac:dyDescent="0.45">
      <c r="A12" s="16" t="s">
        <v>24</v>
      </c>
      <c r="B12" s="16" t="s">
        <v>28</v>
      </c>
      <c r="C12" s="16" t="s">
        <v>26</v>
      </c>
      <c r="D12" s="16" t="s">
        <v>32</v>
      </c>
      <c r="E12" s="17">
        <v>0.5</v>
      </c>
      <c r="F12" s="17">
        <v>0.13</v>
      </c>
    </row>
    <row r="13" spans="1:6" x14ac:dyDescent="0.45">
      <c r="A13" s="16" t="s">
        <v>24</v>
      </c>
      <c r="B13" s="16" t="s">
        <v>29</v>
      </c>
      <c r="C13" s="16" t="s">
        <v>26</v>
      </c>
      <c r="D13" s="16" t="s">
        <v>32</v>
      </c>
      <c r="E13" s="17">
        <v>0.75</v>
      </c>
      <c r="F13" s="17">
        <v>0</v>
      </c>
    </row>
    <row r="14" spans="1:6" x14ac:dyDescent="0.45">
      <c r="A14" s="16" t="s">
        <v>30</v>
      </c>
      <c r="B14" s="16" t="s">
        <v>25</v>
      </c>
      <c r="C14" s="16" t="s">
        <v>26</v>
      </c>
      <c r="D14" s="16" t="s">
        <v>32</v>
      </c>
      <c r="E14" s="17">
        <v>0.25</v>
      </c>
      <c r="F14" s="17">
        <v>0.13</v>
      </c>
    </row>
    <row r="15" spans="1:6" x14ac:dyDescent="0.45">
      <c r="A15" s="16" t="s">
        <v>30</v>
      </c>
      <c r="B15" s="16" t="s">
        <v>28</v>
      </c>
      <c r="C15" s="16" t="s">
        <v>26</v>
      </c>
      <c r="D15" s="16" t="s">
        <v>32</v>
      </c>
      <c r="E15" s="17">
        <v>0.5</v>
      </c>
      <c r="F15" s="17">
        <v>0.13</v>
      </c>
    </row>
    <row r="16" spans="1:6" x14ac:dyDescent="0.45">
      <c r="A16" s="16" t="s">
        <v>30</v>
      </c>
      <c r="B16" s="16" t="s">
        <v>29</v>
      </c>
      <c r="C16" s="16" t="s">
        <v>26</v>
      </c>
      <c r="D16" s="16" t="s">
        <v>32</v>
      </c>
      <c r="E16" s="17">
        <v>0.5</v>
      </c>
      <c r="F16" s="17">
        <v>0.25</v>
      </c>
    </row>
    <row r="17" spans="1:6" x14ac:dyDescent="0.45">
      <c r="A17" s="16" t="s">
        <v>31</v>
      </c>
      <c r="B17" s="16" t="s">
        <v>25</v>
      </c>
      <c r="C17" s="16" t="s">
        <v>26</v>
      </c>
      <c r="D17" s="16" t="s">
        <v>32</v>
      </c>
      <c r="E17" s="17">
        <v>0.38</v>
      </c>
      <c r="F17" s="17">
        <v>0.13</v>
      </c>
    </row>
    <row r="18" spans="1:6" x14ac:dyDescent="0.45">
      <c r="A18" s="16" t="s">
        <v>31</v>
      </c>
      <c r="B18" s="16" t="s">
        <v>28</v>
      </c>
      <c r="C18" s="16" t="s">
        <v>26</v>
      </c>
      <c r="D18" s="16" t="s">
        <v>32</v>
      </c>
      <c r="E18" s="17">
        <v>0.38</v>
      </c>
      <c r="F18" s="17">
        <v>0.13</v>
      </c>
    </row>
    <row r="19" spans="1:6" x14ac:dyDescent="0.45">
      <c r="A19" s="16" t="s">
        <v>31</v>
      </c>
      <c r="B19" s="16" t="s">
        <v>29</v>
      </c>
      <c r="C19" s="16" t="s">
        <v>26</v>
      </c>
      <c r="D19" s="16" t="s">
        <v>32</v>
      </c>
      <c r="E19" s="17">
        <v>0.63</v>
      </c>
      <c r="F19" s="17">
        <v>0</v>
      </c>
    </row>
    <row r="20" spans="1:6" x14ac:dyDescent="0.45">
      <c r="A20" s="16" t="s">
        <v>24</v>
      </c>
      <c r="B20" s="16" t="s">
        <v>25</v>
      </c>
      <c r="C20" s="16" t="s">
        <v>26</v>
      </c>
      <c r="D20" s="16" t="s">
        <v>33</v>
      </c>
      <c r="E20" s="17">
        <v>0.25</v>
      </c>
      <c r="F20" s="17">
        <v>0.25</v>
      </c>
    </row>
    <row r="21" spans="1:6" x14ac:dyDescent="0.45">
      <c r="A21" s="16" t="s">
        <v>24</v>
      </c>
      <c r="B21" s="16" t="s">
        <v>28</v>
      </c>
      <c r="C21" s="16" t="s">
        <v>26</v>
      </c>
      <c r="D21" s="16" t="s">
        <v>33</v>
      </c>
      <c r="E21" s="17">
        <v>0.25</v>
      </c>
      <c r="F21" s="17">
        <v>0.13</v>
      </c>
    </row>
    <row r="22" spans="1:6" x14ac:dyDescent="0.45">
      <c r="A22" s="16" t="s">
        <v>24</v>
      </c>
      <c r="B22" s="16" t="s">
        <v>29</v>
      </c>
      <c r="C22" s="16" t="s">
        <v>26</v>
      </c>
      <c r="D22" s="16" t="s">
        <v>33</v>
      </c>
      <c r="E22" s="17">
        <v>0.5</v>
      </c>
      <c r="F22" s="17">
        <v>0.25</v>
      </c>
    </row>
    <row r="23" spans="1:6" x14ac:dyDescent="0.45">
      <c r="A23" s="16" t="s">
        <v>30</v>
      </c>
      <c r="B23" s="16" t="s">
        <v>25</v>
      </c>
      <c r="C23" s="16" t="s">
        <v>26</v>
      </c>
      <c r="D23" s="16" t="s">
        <v>33</v>
      </c>
      <c r="E23" s="17">
        <v>0.63</v>
      </c>
      <c r="F23" s="17">
        <v>0.38</v>
      </c>
    </row>
    <row r="24" spans="1:6" x14ac:dyDescent="0.45">
      <c r="A24" s="16" t="s">
        <v>30</v>
      </c>
      <c r="B24" s="16" t="s">
        <v>28</v>
      </c>
      <c r="C24" s="16" t="s">
        <v>26</v>
      </c>
      <c r="D24" s="16" t="s">
        <v>33</v>
      </c>
      <c r="E24" s="17">
        <v>0.38</v>
      </c>
      <c r="F24" s="17">
        <v>0.38</v>
      </c>
    </row>
    <row r="25" spans="1:6" x14ac:dyDescent="0.45">
      <c r="A25" s="16" t="s">
        <v>30</v>
      </c>
      <c r="B25" s="16" t="s">
        <v>29</v>
      </c>
      <c r="C25" s="16" t="s">
        <v>26</v>
      </c>
      <c r="D25" s="16" t="s">
        <v>33</v>
      </c>
      <c r="E25" s="17">
        <v>0.63</v>
      </c>
      <c r="F25" s="17">
        <v>0.25</v>
      </c>
    </row>
    <row r="26" spans="1:6" x14ac:dyDescent="0.45">
      <c r="A26" s="16" t="s">
        <v>31</v>
      </c>
      <c r="B26" s="16" t="s">
        <v>25</v>
      </c>
      <c r="C26" s="16" t="s">
        <v>26</v>
      </c>
      <c r="D26" s="16" t="s">
        <v>33</v>
      </c>
      <c r="E26" s="17">
        <v>0.5</v>
      </c>
      <c r="F26" s="17">
        <v>0.25</v>
      </c>
    </row>
    <row r="27" spans="1:6" x14ac:dyDescent="0.45">
      <c r="A27" s="16" t="s">
        <v>31</v>
      </c>
      <c r="B27" s="16" t="s">
        <v>28</v>
      </c>
      <c r="C27" s="16" t="s">
        <v>26</v>
      </c>
      <c r="D27" s="16" t="s">
        <v>33</v>
      </c>
      <c r="E27" s="17">
        <v>0.25</v>
      </c>
      <c r="F27" s="17">
        <v>0.13</v>
      </c>
    </row>
    <row r="28" spans="1:6" x14ac:dyDescent="0.45">
      <c r="A28" s="16" t="s">
        <v>31</v>
      </c>
      <c r="B28" s="16" t="s">
        <v>29</v>
      </c>
      <c r="C28" s="16" t="s">
        <v>26</v>
      </c>
      <c r="D28" s="16" t="s">
        <v>33</v>
      </c>
      <c r="E28" s="17">
        <v>0.5</v>
      </c>
      <c r="F28" s="17">
        <v>0</v>
      </c>
    </row>
    <row r="29" spans="1:6" x14ac:dyDescent="0.45">
      <c r="A29" s="16" t="s">
        <v>24</v>
      </c>
      <c r="B29" s="16" t="s">
        <v>25</v>
      </c>
      <c r="C29" s="16" t="s">
        <v>26</v>
      </c>
      <c r="D29" s="16" t="s">
        <v>34</v>
      </c>
      <c r="E29" s="17">
        <v>0.44</v>
      </c>
      <c r="F29" s="17">
        <v>0.19</v>
      </c>
    </row>
    <row r="30" spans="1:6" x14ac:dyDescent="0.45">
      <c r="A30" s="16" t="s">
        <v>24</v>
      </c>
      <c r="B30" s="16" t="s">
        <v>28</v>
      </c>
      <c r="C30" s="16" t="s">
        <v>26</v>
      </c>
      <c r="D30" s="16" t="s">
        <v>34</v>
      </c>
      <c r="E30" s="17">
        <v>0.44</v>
      </c>
      <c r="F30" s="17">
        <v>0.19</v>
      </c>
    </row>
    <row r="31" spans="1:6" x14ac:dyDescent="0.45">
      <c r="A31" s="16" t="s">
        <v>24</v>
      </c>
      <c r="B31" s="16" t="s">
        <v>29</v>
      </c>
      <c r="C31" s="16" t="s">
        <v>26</v>
      </c>
      <c r="D31" s="16" t="s">
        <v>34</v>
      </c>
      <c r="E31" s="17">
        <v>0.56000000000000005</v>
      </c>
      <c r="F31" s="17">
        <v>0</v>
      </c>
    </row>
    <row r="32" spans="1:6" x14ac:dyDescent="0.45">
      <c r="A32" s="16" t="s">
        <v>30</v>
      </c>
      <c r="B32" s="16" t="s">
        <v>25</v>
      </c>
      <c r="C32" s="16" t="s">
        <v>26</v>
      </c>
      <c r="D32" s="16" t="s">
        <v>34</v>
      </c>
      <c r="E32" s="17">
        <v>0.38</v>
      </c>
      <c r="F32" s="17">
        <v>0.19</v>
      </c>
    </row>
    <row r="33" spans="1:6" x14ac:dyDescent="0.45">
      <c r="A33" s="16" t="s">
        <v>30</v>
      </c>
      <c r="B33" s="16" t="s">
        <v>28</v>
      </c>
      <c r="C33" s="16" t="s">
        <v>26</v>
      </c>
      <c r="D33" s="16" t="s">
        <v>34</v>
      </c>
      <c r="E33" s="17">
        <v>0.19</v>
      </c>
      <c r="F33" s="17">
        <v>0</v>
      </c>
    </row>
    <row r="34" spans="1:6" x14ac:dyDescent="0.45">
      <c r="A34" s="16" t="s">
        <v>30</v>
      </c>
      <c r="B34" s="16" t="s">
        <v>29</v>
      </c>
      <c r="C34" s="16" t="s">
        <v>26</v>
      </c>
      <c r="D34" s="16" t="s">
        <v>34</v>
      </c>
      <c r="E34" s="17">
        <v>0.5</v>
      </c>
      <c r="F34" s="17">
        <v>0.19</v>
      </c>
    </row>
    <row r="35" spans="1:6" x14ac:dyDescent="0.45">
      <c r="A35" s="16" t="s">
        <v>31</v>
      </c>
      <c r="B35" s="16" t="s">
        <v>25</v>
      </c>
      <c r="C35" s="16" t="s">
        <v>26</v>
      </c>
      <c r="D35" s="16" t="s">
        <v>34</v>
      </c>
      <c r="E35" s="17">
        <v>0.44</v>
      </c>
      <c r="F35" s="17">
        <v>0.44</v>
      </c>
    </row>
    <row r="36" spans="1:6" x14ac:dyDescent="0.45">
      <c r="A36" s="16" t="s">
        <v>31</v>
      </c>
      <c r="B36" s="16" t="s">
        <v>28</v>
      </c>
      <c r="C36" s="16" t="s">
        <v>26</v>
      </c>
      <c r="D36" s="16" t="s">
        <v>34</v>
      </c>
      <c r="E36" s="17">
        <v>0.31</v>
      </c>
      <c r="F36" s="17">
        <v>0.19</v>
      </c>
    </row>
    <row r="37" spans="1:6" x14ac:dyDescent="0.45">
      <c r="A37" s="16" t="s">
        <v>31</v>
      </c>
      <c r="B37" s="16" t="s">
        <v>29</v>
      </c>
      <c r="C37" s="16" t="s">
        <v>26</v>
      </c>
      <c r="D37" s="16" t="s">
        <v>34</v>
      </c>
      <c r="E37" s="17">
        <v>0.56000000000000005</v>
      </c>
      <c r="F37" s="17">
        <v>0.13</v>
      </c>
    </row>
    <row r="38" spans="1:6" x14ac:dyDescent="0.45">
      <c r="A38" s="16" t="s">
        <v>24</v>
      </c>
      <c r="B38" s="16" t="s">
        <v>25</v>
      </c>
      <c r="C38" s="16" t="s">
        <v>26</v>
      </c>
      <c r="D38" s="16" t="s">
        <v>35</v>
      </c>
      <c r="E38" s="17">
        <v>0.25</v>
      </c>
      <c r="F38" s="17">
        <v>0.44</v>
      </c>
    </row>
    <row r="39" spans="1:6" x14ac:dyDescent="0.45">
      <c r="A39" s="16" t="s">
        <v>24</v>
      </c>
      <c r="B39" s="16" t="s">
        <v>28</v>
      </c>
      <c r="C39" s="16" t="s">
        <v>26</v>
      </c>
      <c r="D39" s="16" t="s">
        <v>35</v>
      </c>
      <c r="E39" s="17">
        <v>0.5</v>
      </c>
      <c r="F39" s="17">
        <v>0.31</v>
      </c>
    </row>
    <row r="40" spans="1:6" x14ac:dyDescent="0.45">
      <c r="A40" s="16" t="s">
        <v>24</v>
      </c>
      <c r="B40" s="16" t="s">
        <v>29</v>
      </c>
      <c r="C40" s="16" t="s">
        <v>26</v>
      </c>
      <c r="D40" s="16" t="s">
        <v>35</v>
      </c>
      <c r="E40" s="17">
        <v>0.44</v>
      </c>
      <c r="F40" s="17">
        <v>0.13</v>
      </c>
    </row>
    <row r="41" spans="1:6" x14ac:dyDescent="0.45">
      <c r="A41" s="16" t="s">
        <v>30</v>
      </c>
      <c r="B41" s="16" t="s">
        <v>25</v>
      </c>
      <c r="C41" s="16" t="s">
        <v>26</v>
      </c>
      <c r="D41" s="16" t="s">
        <v>35</v>
      </c>
      <c r="E41" s="17">
        <v>0.5</v>
      </c>
      <c r="F41" s="17">
        <v>0.19</v>
      </c>
    </row>
    <row r="42" spans="1:6" x14ac:dyDescent="0.45">
      <c r="A42" s="16" t="s">
        <v>30</v>
      </c>
      <c r="B42" s="16" t="s">
        <v>28</v>
      </c>
      <c r="C42" s="16" t="s">
        <v>26</v>
      </c>
      <c r="D42" s="16" t="s">
        <v>35</v>
      </c>
      <c r="E42" s="17">
        <v>0.06</v>
      </c>
      <c r="F42" s="17">
        <v>0</v>
      </c>
    </row>
    <row r="43" spans="1:6" x14ac:dyDescent="0.45">
      <c r="A43" s="16" t="s">
        <v>30</v>
      </c>
      <c r="B43" s="16" t="s">
        <v>29</v>
      </c>
      <c r="C43" s="16" t="s">
        <v>26</v>
      </c>
      <c r="D43" s="16" t="s">
        <v>35</v>
      </c>
      <c r="E43" s="17">
        <v>0.44</v>
      </c>
      <c r="F43" s="17">
        <v>0.19</v>
      </c>
    </row>
    <row r="44" spans="1:6" x14ac:dyDescent="0.45">
      <c r="A44" s="16" t="s">
        <v>31</v>
      </c>
      <c r="B44" s="16" t="s">
        <v>25</v>
      </c>
      <c r="C44" s="16" t="s">
        <v>26</v>
      </c>
      <c r="D44" s="16" t="s">
        <v>35</v>
      </c>
      <c r="E44" s="17">
        <v>0.38</v>
      </c>
      <c r="F44" s="17">
        <v>0.25</v>
      </c>
    </row>
    <row r="45" spans="1:6" x14ac:dyDescent="0.45">
      <c r="A45" s="16" t="s">
        <v>31</v>
      </c>
      <c r="B45" s="16" t="s">
        <v>28</v>
      </c>
      <c r="C45" s="16" t="s">
        <v>26</v>
      </c>
      <c r="D45" s="16" t="s">
        <v>35</v>
      </c>
      <c r="E45" s="17">
        <v>0.13</v>
      </c>
      <c r="F45" s="17">
        <v>0</v>
      </c>
    </row>
    <row r="46" spans="1:6" x14ac:dyDescent="0.45">
      <c r="A46" s="16" t="s">
        <v>31</v>
      </c>
      <c r="B46" s="16" t="s">
        <v>29</v>
      </c>
      <c r="C46" s="16" t="s">
        <v>26</v>
      </c>
      <c r="D46" s="16" t="s">
        <v>35</v>
      </c>
      <c r="E46" s="17">
        <v>0.13</v>
      </c>
      <c r="F46" s="17">
        <v>0</v>
      </c>
    </row>
    <row r="47" spans="1:6" x14ac:dyDescent="0.45">
      <c r="A47" s="16" t="s">
        <v>24</v>
      </c>
      <c r="B47" s="16" t="s">
        <v>25</v>
      </c>
      <c r="C47" s="16" t="s">
        <v>26</v>
      </c>
      <c r="D47" s="16" t="s">
        <v>36</v>
      </c>
      <c r="E47" s="17">
        <v>0.56000000000000005</v>
      </c>
      <c r="F47" s="17">
        <v>0.31</v>
      </c>
    </row>
    <row r="48" spans="1:6" x14ac:dyDescent="0.45">
      <c r="A48" s="16" t="s">
        <v>24</v>
      </c>
      <c r="B48" s="16" t="s">
        <v>28</v>
      </c>
      <c r="C48" s="16" t="s">
        <v>26</v>
      </c>
      <c r="D48" s="16" t="s">
        <v>36</v>
      </c>
      <c r="E48" s="17">
        <v>0.25</v>
      </c>
      <c r="F48" s="17">
        <v>0.06</v>
      </c>
    </row>
    <row r="49" spans="1:6" x14ac:dyDescent="0.45">
      <c r="A49" s="16" t="s">
        <v>24</v>
      </c>
      <c r="B49" s="16" t="s">
        <v>29</v>
      </c>
      <c r="C49" s="16" t="s">
        <v>26</v>
      </c>
      <c r="D49" s="16" t="s">
        <v>36</v>
      </c>
      <c r="E49" s="17">
        <v>0.06</v>
      </c>
      <c r="F49" s="17">
        <v>0</v>
      </c>
    </row>
    <row r="50" spans="1:6" x14ac:dyDescent="0.45">
      <c r="A50" s="16" t="s">
        <v>30</v>
      </c>
      <c r="B50" s="16" t="s">
        <v>25</v>
      </c>
      <c r="C50" s="16" t="s">
        <v>26</v>
      </c>
      <c r="D50" s="16" t="s">
        <v>36</v>
      </c>
      <c r="E50" s="17">
        <v>0.31</v>
      </c>
      <c r="F50" s="17">
        <v>0.19</v>
      </c>
    </row>
    <row r="51" spans="1:6" x14ac:dyDescent="0.45">
      <c r="A51" s="16" t="s">
        <v>30</v>
      </c>
      <c r="B51" s="16" t="s">
        <v>28</v>
      </c>
      <c r="C51" s="16" t="s">
        <v>26</v>
      </c>
      <c r="D51" s="16" t="s">
        <v>36</v>
      </c>
      <c r="E51" s="17">
        <v>0</v>
      </c>
      <c r="F51" s="17">
        <v>0</v>
      </c>
    </row>
    <row r="52" spans="1:6" x14ac:dyDescent="0.45">
      <c r="A52" s="16" t="s">
        <v>30</v>
      </c>
      <c r="B52" s="16" t="s">
        <v>29</v>
      </c>
      <c r="C52" s="16" t="s">
        <v>26</v>
      </c>
      <c r="D52" s="16" t="s">
        <v>36</v>
      </c>
      <c r="E52" s="17">
        <v>0.06</v>
      </c>
      <c r="F52" s="17">
        <v>0</v>
      </c>
    </row>
    <row r="53" spans="1:6" x14ac:dyDescent="0.45">
      <c r="A53" s="16" t="s">
        <v>31</v>
      </c>
      <c r="B53" s="16" t="s">
        <v>25</v>
      </c>
      <c r="C53" s="16" t="s">
        <v>26</v>
      </c>
      <c r="D53" s="16" t="s">
        <v>36</v>
      </c>
      <c r="E53" s="17">
        <v>0.06</v>
      </c>
      <c r="F53" s="17">
        <v>0.06</v>
      </c>
    </row>
    <row r="54" spans="1:6" x14ac:dyDescent="0.45">
      <c r="A54" s="16" t="s">
        <v>31</v>
      </c>
      <c r="B54" s="16" t="s">
        <v>28</v>
      </c>
      <c r="C54" s="16" t="s">
        <v>26</v>
      </c>
      <c r="D54" s="16" t="s">
        <v>36</v>
      </c>
      <c r="E54" s="17">
        <v>0.13</v>
      </c>
      <c r="F54" s="17">
        <v>0</v>
      </c>
    </row>
    <row r="55" spans="1:6" x14ac:dyDescent="0.45">
      <c r="A55" s="16" t="s">
        <v>31</v>
      </c>
      <c r="B55" s="16" t="s">
        <v>29</v>
      </c>
      <c r="C55" s="16" t="s">
        <v>26</v>
      </c>
      <c r="D55" s="16" t="s">
        <v>36</v>
      </c>
      <c r="E55" s="17">
        <v>0.13</v>
      </c>
      <c r="F55" s="17">
        <v>0</v>
      </c>
    </row>
    <row r="56" spans="1:6" x14ac:dyDescent="0.45">
      <c r="A56" s="16" t="s">
        <v>24</v>
      </c>
      <c r="B56" s="16" t="s">
        <v>25</v>
      </c>
      <c r="C56" s="16" t="s">
        <v>26</v>
      </c>
      <c r="D56" s="16" t="s">
        <v>37</v>
      </c>
      <c r="E56" s="17">
        <v>0.38</v>
      </c>
      <c r="F56" s="17">
        <v>0.25</v>
      </c>
    </row>
    <row r="57" spans="1:6" x14ac:dyDescent="0.45">
      <c r="A57" s="16" t="s">
        <v>24</v>
      </c>
      <c r="B57" s="16" t="s">
        <v>28</v>
      </c>
      <c r="C57" s="16" t="s">
        <v>26</v>
      </c>
      <c r="D57" s="16" t="s">
        <v>37</v>
      </c>
      <c r="E57" s="17">
        <v>0.5</v>
      </c>
      <c r="F57" s="17">
        <v>0.16</v>
      </c>
    </row>
    <row r="58" spans="1:6" x14ac:dyDescent="0.45">
      <c r="A58" s="16" t="s">
        <v>24</v>
      </c>
      <c r="B58" s="16" t="s">
        <v>29</v>
      </c>
      <c r="C58" s="16" t="s">
        <v>26</v>
      </c>
      <c r="D58" s="16" t="s">
        <v>37</v>
      </c>
      <c r="E58" s="17">
        <v>0.66</v>
      </c>
      <c r="F58" s="17">
        <v>0.16</v>
      </c>
    </row>
    <row r="59" spans="1:6" x14ac:dyDescent="0.45">
      <c r="A59" s="16" t="s">
        <v>30</v>
      </c>
      <c r="B59" s="16" t="s">
        <v>25</v>
      </c>
      <c r="C59" s="16" t="s">
        <v>26</v>
      </c>
      <c r="D59" s="16" t="s">
        <v>37</v>
      </c>
      <c r="E59" s="17">
        <v>0.06</v>
      </c>
      <c r="F59" s="17">
        <v>0</v>
      </c>
    </row>
    <row r="60" spans="1:6" x14ac:dyDescent="0.45">
      <c r="A60" s="16" t="s">
        <v>30</v>
      </c>
      <c r="B60" s="16" t="s">
        <v>28</v>
      </c>
      <c r="C60" s="16" t="s">
        <v>26</v>
      </c>
      <c r="D60" s="16" t="s">
        <v>37</v>
      </c>
      <c r="E60" s="17">
        <v>0.5</v>
      </c>
      <c r="F60" s="17">
        <v>0</v>
      </c>
    </row>
    <row r="61" spans="1:6" x14ac:dyDescent="0.45">
      <c r="A61" s="16" t="s">
        <v>30</v>
      </c>
      <c r="B61" s="16" t="s">
        <v>29</v>
      </c>
      <c r="C61" s="16" t="s">
        <v>26</v>
      </c>
      <c r="D61" s="16" t="s">
        <v>37</v>
      </c>
      <c r="E61" s="17">
        <v>0</v>
      </c>
      <c r="F61" s="17">
        <v>0</v>
      </c>
    </row>
    <row r="62" spans="1:6" x14ac:dyDescent="0.45">
      <c r="A62" s="16" t="s">
        <v>31</v>
      </c>
      <c r="B62" s="16" t="s">
        <v>25</v>
      </c>
      <c r="C62" s="16" t="s">
        <v>26</v>
      </c>
      <c r="D62" s="16" t="s">
        <v>37</v>
      </c>
      <c r="E62" s="17">
        <v>0.75</v>
      </c>
      <c r="F62" s="17">
        <v>0.75</v>
      </c>
    </row>
    <row r="63" spans="1:6" x14ac:dyDescent="0.45">
      <c r="A63" s="16" t="s">
        <v>31</v>
      </c>
      <c r="B63" s="16" t="s">
        <v>28</v>
      </c>
      <c r="C63" s="16" t="s">
        <v>26</v>
      </c>
      <c r="D63" s="16" t="s">
        <v>37</v>
      </c>
      <c r="E63" s="17">
        <v>0.13</v>
      </c>
      <c r="F63" s="17">
        <v>0</v>
      </c>
    </row>
    <row r="64" spans="1:6" x14ac:dyDescent="0.45">
      <c r="A64" s="16" t="s">
        <v>31</v>
      </c>
      <c r="B64" s="16" t="s">
        <v>29</v>
      </c>
      <c r="C64" s="16" t="s">
        <v>26</v>
      </c>
      <c r="D64" s="16" t="s">
        <v>37</v>
      </c>
      <c r="E64" s="17">
        <v>0.13</v>
      </c>
      <c r="F64" s="17">
        <v>0</v>
      </c>
    </row>
    <row r="65" spans="1:6" x14ac:dyDescent="0.45">
      <c r="A65" s="16" t="s">
        <v>24</v>
      </c>
      <c r="B65" s="16" t="s">
        <v>25</v>
      </c>
      <c r="C65" s="16" t="s">
        <v>38</v>
      </c>
      <c r="D65" s="16" t="s">
        <v>39</v>
      </c>
      <c r="E65" s="17">
        <v>0.75</v>
      </c>
      <c r="F65" s="17">
        <v>0.06</v>
      </c>
    </row>
    <row r="66" spans="1:6" x14ac:dyDescent="0.45">
      <c r="A66" s="16" t="s">
        <v>24</v>
      </c>
      <c r="B66" s="16" t="s">
        <v>28</v>
      </c>
      <c r="C66" s="16" t="s">
        <v>38</v>
      </c>
      <c r="D66" s="16" t="s">
        <v>39</v>
      </c>
      <c r="E66" s="17">
        <v>0.75</v>
      </c>
      <c r="F66" s="17">
        <v>0.06</v>
      </c>
    </row>
    <row r="67" spans="1:6" x14ac:dyDescent="0.45">
      <c r="A67" s="16" t="s">
        <v>24</v>
      </c>
      <c r="B67" s="16" t="s">
        <v>29</v>
      </c>
      <c r="C67" s="16" t="s">
        <v>38</v>
      </c>
      <c r="D67" s="16" t="s">
        <v>39</v>
      </c>
      <c r="E67" s="17">
        <v>0.75</v>
      </c>
      <c r="F67" s="17">
        <v>0</v>
      </c>
    </row>
    <row r="68" spans="1:6" x14ac:dyDescent="0.45">
      <c r="A68" s="16" t="s">
        <v>30</v>
      </c>
      <c r="B68" s="16" t="s">
        <v>25</v>
      </c>
      <c r="C68" s="16" t="s">
        <v>38</v>
      </c>
      <c r="D68" s="16" t="s">
        <v>39</v>
      </c>
      <c r="E68" s="17">
        <v>0.75</v>
      </c>
      <c r="F68" s="17">
        <v>0.31</v>
      </c>
    </row>
    <row r="69" spans="1:6" x14ac:dyDescent="0.45">
      <c r="A69" s="16" t="s">
        <v>30</v>
      </c>
      <c r="B69" s="16" t="s">
        <v>28</v>
      </c>
      <c r="C69" s="16" t="s">
        <v>38</v>
      </c>
      <c r="D69" s="16" t="s">
        <v>39</v>
      </c>
      <c r="E69" s="17">
        <v>0.38</v>
      </c>
      <c r="F69" s="17">
        <v>0.19</v>
      </c>
    </row>
    <row r="70" spans="1:6" x14ac:dyDescent="0.45">
      <c r="A70" s="16" t="s">
        <v>30</v>
      </c>
      <c r="B70" s="16" t="s">
        <v>29</v>
      </c>
      <c r="C70" s="16" t="s">
        <v>38</v>
      </c>
      <c r="D70" s="16" t="s">
        <v>39</v>
      </c>
      <c r="E70" s="17">
        <v>0.75</v>
      </c>
      <c r="F70" s="17">
        <v>0.13</v>
      </c>
    </row>
    <row r="71" spans="1:6" x14ac:dyDescent="0.45">
      <c r="A71" s="16" t="s">
        <v>31</v>
      </c>
      <c r="B71" s="16" t="s">
        <v>25</v>
      </c>
      <c r="C71" s="16" t="s">
        <v>38</v>
      </c>
      <c r="D71" s="16" t="s">
        <v>39</v>
      </c>
      <c r="E71" s="17">
        <v>0.75</v>
      </c>
      <c r="F71" s="17">
        <v>0.38</v>
      </c>
    </row>
    <row r="72" spans="1:6" x14ac:dyDescent="0.45">
      <c r="A72" s="16" t="s">
        <v>31</v>
      </c>
      <c r="B72" s="16" t="s">
        <v>28</v>
      </c>
      <c r="C72" s="16" t="s">
        <v>38</v>
      </c>
      <c r="D72" s="16" t="s">
        <v>39</v>
      </c>
      <c r="E72" s="17">
        <v>0.75</v>
      </c>
      <c r="F72" s="17">
        <v>0.56000000000000005</v>
      </c>
    </row>
    <row r="73" spans="1:6" x14ac:dyDescent="0.45">
      <c r="A73" s="16" t="s">
        <v>31</v>
      </c>
      <c r="B73" s="16" t="s">
        <v>29</v>
      </c>
      <c r="C73" s="16" t="s">
        <v>38</v>
      </c>
      <c r="D73" s="16" t="s">
        <v>39</v>
      </c>
      <c r="E73" s="17">
        <v>0.75</v>
      </c>
      <c r="F73" s="17">
        <v>0.75</v>
      </c>
    </row>
    <row r="74" spans="1:6" x14ac:dyDescent="0.45">
      <c r="A74" s="16" t="s">
        <v>24</v>
      </c>
      <c r="B74" s="16" t="s">
        <v>25</v>
      </c>
      <c r="C74" s="16" t="s">
        <v>38</v>
      </c>
      <c r="D74" s="16" t="s">
        <v>40</v>
      </c>
      <c r="E74" s="17">
        <v>0.75</v>
      </c>
      <c r="F74" s="17">
        <v>0.63</v>
      </c>
    </row>
    <row r="75" spans="1:6" x14ac:dyDescent="0.45">
      <c r="A75" s="16" t="s">
        <v>24</v>
      </c>
      <c r="B75" s="16" t="s">
        <v>28</v>
      </c>
      <c r="C75" s="16" t="s">
        <v>38</v>
      </c>
      <c r="D75" s="16" t="s">
        <v>40</v>
      </c>
      <c r="E75" s="17">
        <v>0.75</v>
      </c>
      <c r="F75" s="17">
        <v>0.38</v>
      </c>
    </row>
    <row r="76" spans="1:6" x14ac:dyDescent="0.45">
      <c r="A76" s="16" t="s">
        <v>24</v>
      </c>
      <c r="B76" s="16" t="s">
        <v>29</v>
      </c>
      <c r="C76" s="16" t="s">
        <v>38</v>
      </c>
      <c r="D76" s="16" t="s">
        <v>40</v>
      </c>
      <c r="E76" s="17">
        <v>0.75</v>
      </c>
      <c r="F76" s="17">
        <v>0</v>
      </c>
    </row>
    <row r="77" spans="1:6" x14ac:dyDescent="0.45">
      <c r="A77" s="16" t="s">
        <v>30</v>
      </c>
      <c r="B77" s="16" t="s">
        <v>25</v>
      </c>
      <c r="C77" s="16" t="s">
        <v>38</v>
      </c>
      <c r="D77" s="16" t="s">
        <v>40</v>
      </c>
      <c r="E77" s="17">
        <v>0.75</v>
      </c>
      <c r="F77" s="17">
        <v>0.13</v>
      </c>
    </row>
    <row r="78" spans="1:6" x14ac:dyDescent="0.45">
      <c r="A78" s="16" t="s">
        <v>30</v>
      </c>
      <c r="B78" s="16" t="s">
        <v>28</v>
      </c>
      <c r="C78" s="16" t="s">
        <v>38</v>
      </c>
      <c r="D78" s="16" t="s">
        <v>40</v>
      </c>
      <c r="E78" s="17">
        <v>0.75</v>
      </c>
      <c r="F78" s="17">
        <v>0.63</v>
      </c>
    </row>
    <row r="79" spans="1:6" x14ac:dyDescent="0.45">
      <c r="A79" s="16" t="s">
        <v>30</v>
      </c>
      <c r="B79" s="16" t="s">
        <v>29</v>
      </c>
      <c r="C79" s="16" t="s">
        <v>38</v>
      </c>
      <c r="D79" s="16" t="s">
        <v>40</v>
      </c>
      <c r="E79" s="17">
        <v>0.75</v>
      </c>
      <c r="F79" s="17">
        <v>0.13</v>
      </c>
    </row>
    <row r="80" spans="1:6" x14ac:dyDescent="0.45">
      <c r="A80" s="16" t="s">
        <v>31</v>
      </c>
      <c r="B80" s="16" t="s">
        <v>25</v>
      </c>
      <c r="C80" s="16" t="s">
        <v>38</v>
      </c>
      <c r="D80" s="16" t="s">
        <v>40</v>
      </c>
      <c r="E80" s="17">
        <v>0.75</v>
      </c>
      <c r="F80" s="17">
        <v>0</v>
      </c>
    </row>
    <row r="81" spans="1:6" x14ac:dyDescent="0.45">
      <c r="A81" s="16" t="s">
        <v>31</v>
      </c>
      <c r="B81" s="16" t="s">
        <v>28</v>
      </c>
      <c r="C81" s="16" t="s">
        <v>38</v>
      </c>
      <c r="D81" s="16" t="s">
        <v>40</v>
      </c>
      <c r="E81" s="17">
        <v>0.63</v>
      </c>
      <c r="F81" s="17">
        <v>0.5</v>
      </c>
    </row>
    <row r="82" spans="1:6" x14ac:dyDescent="0.45">
      <c r="A82" s="16" t="s">
        <v>31</v>
      </c>
      <c r="B82" s="16" t="s">
        <v>29</v>
      </c>
      <c r="C82" s="16" t="s">
        <v>38</v>
      </c>
      <c r="D82" s="16" t="s">
        <v>40</v>
      </c>
      <c r="E82" s="17">
        <v>0.38</v>
      </c>
      <c r="F82" s="17">
        <v>0</v>
      </c>
    </row>
    <row r="83" spans="1:6" x14ac:dyDescent="0.45">
      <c r="A83" s="16" t="s">
        <v>24</v>
      </c>
      <c r="B83" s="16" t="s">
        <v>25</v>
      </c>
      <c r="C83" s="16" t="s">
        <v>38</v>
      </c>
      <c r="D83" s="16" t="s">
        <v>41</v>
      </c>
      <c r="E83" s="17">
        <v>0.75</v>
      </c>
      <c r="F83" s="17">
        <v>0.56000000000000005</v>
      </c>
    </row>
    <row r="84" spans="1:6" x14ac:dyDescent="0.45">
      <c r="A84" s="16" t="s">
        <v>24</v>
      </c>
      <c r="B84" s="16" t="s">
        <v>28</v>
      </c>
      <c r="C84" s="16" t="s">
        <v>38</v>
      </c>
      <c r="D84" s="16" t="s">
        <v>41</v>
      </c>
      <c r="E84" s="17">
        <v>0.75</v>
      </c>
      <c r="F84" s="17">
        <v>0.63</v>
      </c>
    </row>
    <row r="85" spans="1:6" x14ac:dyDescent="0.45">
      <c r="A85" s="16" t="s">
        <v>24</v>
      </c>
      <c r="B85" s="16" t="s">
        <v>29</v>
      </c>
      <c r="C85" s="16" t="s">
        <v>38</v>
      </c>
      <c r="D85" s="16" t="s">
        <v>41</v>
      </c>
      <c r="E85" s="17">
        <v>0.75</v>
      </c>
      <c r="F85" s="17">
        <v>0</v>
      </c>
    </row>
    <row r="86" spans="1:6" x14ac:dyDescent="0.45">
      <c r="A86" s="16" t="s">
        <v>30</v>
      </c>
      <c r="B86" s="16" t="s">
        <v>25</v>
      </c>
      <c r="C86" s="16" t="s">
        <v>38</v>
      </c>
      <c r="D86" s="16" t="s">
        <v>41</v>
      </c>
      <c r="E86" s="17">
        <v>0.75</v>
      </c>
      <c r="F86" s="17">
        <v>0.38</v>
      </c>
    </row>
    <row r="87" spans="1:6" x14ac:dyDescent="0.45">
      <c r="A87" s="16" t="s">
        <v>30</v>
      </c>
      <c r="B87" s="16" t="s">
        <v>28</v>
      </c>
      <c r="C87" s="16" t="s">
        <v>38</v>
      </c>
      <c r="D87" s="16" t="s">
        <v>41</v>
      </c>
      <c r="E87" s="17">
        <v>0.38</v>
      </c>
      <c r="F87" s="17">
        <v>0.13</v>
      </c>
    </row>
    <row r="88" spans="1:6" x14ac:dyDescent="0.45">
      <c r="A88" s="16" t="s">
        <v>30</v>
      </c>
      <c r="B88" s="16" t="s">
        <v>29</v>
      </c>
      <c r="C88" s="16" t="s">
        <v>38</v>
      </c>
      <c r="D88" s="16" t="s">
        <v>41</v>
      </c>
      <c r="E88" s="17">
        <v>0.75</v>
      </c>
      <c r="F88" s="17">
        <v>0.31</v>
      </c>
    </row>
    <row r="89" spans="1:6" x14ac:dyDescent="0.45">
      <c r="A89" s="16" t="s">
        <v>31</v>
      </c>
      <c r="B89" s="16" t="s">
        <v>25</v>
      </c>
      <c r="C89" s="16" t="s">
        <v>38</v>
      </c>
      <c r="D89" s="16" t="s">
        <v>41</v>
      </c>
      <c r="E89" s="17">
        <v>0.75</v>
      </c>
      <c r="F89" s="17">
        <v>0.19</v>
      </c>
    </row>
    <row r="90" spans="1:6" x14ac:dyDescent="0.45">
      <c r="A90" s="16" t="s">
        <v>31</v>
      </c>
      <c r="B90" s="16" t="s">
        <v>28</v>
      </c>
      <c r="C90" s="16" t="s">
        <v>38</v>
      </c>
      <c r="D90" s="16" t="s">
        <v>41</v>
      </c>
      <c r="E90" s="17">
        <v>0.75</v>
      </c>
      <c r="F90" s="17">
        <v>0.56000000000000005</v>
      </c>
    </row>
    <row r="91" spans="1:6" x14ac:dyDescent="0.45">
      <c r="A91" s="16" t="s">
        <v>31</v>
      </c>
      <c r="B91" s="16" t="s">
        <v>29</v>
      </c>
      <c r="C91" s="16" t="s">
        <v>38</v>
      </c>
      <c r="D91" s="16" t="s">
        <v>41</v>
      </c>
      <c r="E91" s="17">
        <v>0.75</v>
      </c>
      <c r="F91" s="17">
        <v>0.31</v>
      </c>
    </row>
    <row r="92" spans="1:6" x14ac:dyDescent="0.45">
      <c r="A92" s="16" t="s">
        <v>24</v>
      </c>
      <c r="B92" s="16" t="s">
        <v>25</v>
      </c>
      <c r="C92" s="16" t="s">
        <v>38</v>
      </c>
      <c r="D92" s="16" t="s">
        <v>42</v>
      </c>
      <c r="E92" s="17">
        <v>0.75</v>
      </c>
      <c r="F92" s="17">
        <v>0.38</v>
      </c>
    </row>
    <row r="93" spans="1:6" x14ac:dyDescent="0.45">
      <c r="A93" s="16" t="s">
        <v>24</v>
      </c>
      <c r="B93" s="16" t="s">
        <v>28</v>
      </c>
      <c r="C93" s="16" t="s">
        <v>38</v>
      </c>
      <c r="D93" s="16" t="s">
        <v>42</v>
      </c>
      <c r="E93" s="17">
        <v>0.75</v>
      </c>
      <c r="F93" s="17">
        <v>0.38</v>
      </c>
    </row>
    <row r="94" spans="1:6" x14ac:dyDescent="0.45">
      <c r="A94" s="16" t="s">
        <v>24</v>
      </c>
      <c r="B94" s="16" t="s">
        <v>29</v>
      </c>
      <c r="C94" s="16" t="s">
        <v>38</v>
      </c>
      <c r="D94" s="16" t="s">
        <v>42</v>
      </c>
      <c r="E94" s="17">
        <v>0.75</v>
      </c>
      <c r="F94" s="17">
        <v>0</v>
      </c>
    </row>
    <row r="95" spans="1:6" x14ac:dyDescent="0.45">
      <c r="A95" s="16" t="s">
        <v>30</v>
      </c>
      <c r="B95" s="16" t="s">
        <v>25</v>
      </c>
      <c r="C95" s="16" t="s">
        <v>38</v>
      </c>
      <c r="D95" s="16" t="s">
        <v>42</v>
      </c>
      <c r="E95" s="17">
        <v>0.19</v>
      </c>
      <c r="F95" s="17">
        <v>0.19</v>
      </c>
    </row>
    <row r="96" spans="1:6" x14ac:dyDescent="0.45">
      <c r="A96" s="16" t="s">
        <v>30</v>
      </c>
      <c r="B96" s="16" t="s">
        <v>28</v>
      </c>
      <c r="C96" s="16" t="s">
        <v>38</v>
      </c>
      <c r="D96" s="16" t="s">
        <v>42</v>
      </c>
      <c r="E96" s="17">
        <v>0.69</v>
      </c>
      <c r="F96" s="17">
        <v>0.25</v>
      </c>
    </row>
    <row r="97" spans="1:6" x14ac:dyDescent="0.45">
      <c r="A97" s="16" t="s">
        <v>30</v>
      </c>
      <c r="B97" s="16" t="s">
        <v>29</v>
      </c>
      <c r="C97" s="16" t="s">
        <v>38</v>
      </c>
      <c r="D97" s="16" t="s">
        <v>42</v>
      </c>
      <c r="E97" s="17">
        <v>0.56000000000000005</v>
      </c>
      <c r="F97" s="17">
        <v>0.38</v>
      </c>
    </row>
    <row r="98" spans="1:6" x14ac:dyDescent="0.45">
      <c r="A98" s="16" t="s">
        <v>31</v>
      </c>
      <c r="B98" s="16" t="s">
        <v>25</v>
      </c>
      <c r="C98" s="16" t="s">
        <v>38</v>
      </c>
      <c r="D98" s="16" t="s">
        <v>42</v>
      </c>
      <c r="E98" s="17">
        <v>0.63</v>
      </c>
      <c r="F98" s="17">
        <v>0.13</v>
      </c>
    </row>
    <row r="99" spans="1:6" x14ac:dyDescent="0.45">
      <c r="A99" s="16" t="s">
        <v>31</v>
      </c>
      <c r="B99" s="16" t="s">
        <v>28</v>
      </c>
      <c r="C99" s="16" t="s">
        <v>38</v>
      </c>
      <c r="D99" s="16" t="s">
        <v>42</v>
      </c>
      <c r="E99" s="17">
        <v>0.75</v>
      </c>
      <c r="F99" s="17">
        <v>0.63</v>
      </c>
    </row>
    <row r="100" spans="1:6" x14ac:dyDescent="0.45">
      <c r="A100" s="16" t="s">
        <v>31</v>
      </c>
      <c r="B100" s="16" t="s">
        <v>29</v>
      </c>
      <c r="C100" s="16" t="s">
        <v>38</v>
      </c>
      <c r="D100" s="16" t="s">
        <v>42</v>
      </c>
      <c r="E100" s="17">
        <v>0.75</v>
      </c>
      <c r="F100" s="17">
        <v>0</v>
      </c>
    </row>
    <row r="101" spans="1:6" x14ac:dyDescent="0.45">
      <c r="A101" s="16" t="s">
        <v>24</v>
      </c>
      <c r="B101" s="16" t="s">
        <v>25</v>
      </c>
      <c r="C101" s="16" t="s">
        <v>43</v>
      </c>
      <c r="D101" s="16" t="s">
        <v>44</v>
      </c>
      <c r="E101" s="17">
        <v>0.13</v>
      </c>
      <c r="F101" s="17">
        <v>0</v>
      </c>
    </row>
    <row r="102" spans="1:6" x14ac:dyDescent="0.45">
      <c r="A102" s="16" t="s">
        <v>24</v>
      </c>
      <c r="B102" s="16" t="s">
        <v>28</v>
      </c>
      <c r="C102" s="16" t="s">
        <v>43</v>
      </c>
      <c r="D102" s="16" t="s">
        <v>44</v>
      </c>
      <c r="E102" s="17">
        <v>0.13</v>
      </c>
      <c r="F102" s="17">
        <v>0</v>
      </c>
    </row>
    <row r="103" spans="1:6" x14ac:dyDescent="0.45">
      <c r="A103" s="16" t="s">
        <v>24</v>
      </c>
      <c r="B103" s="16" t="s">
        <v>29</v>
      </c>
      <c r="C103" s="16" t="s">
        <v>43</v>
      </c>
      <c r="D103" s="16" t="s">
        <v>44</v>
      </c>
      <c r="E103" s="17">
        <v>0.25</v>
      </c>
      <c r="F103" s="17">
        <v>0</v>
      </c>
    </row>
    <row r="104" spans="1:6" x14ac:dyDescent="0.45">
      <c r="A104" s="16" t="s">
        <v>30</v>
      </c>
      <c r="B104" s="16" t="s">
        <v>25</v>
      </c>
      <c r="C104" s="16" t="s">
        <v>43</v>
      </c>
      <c r="D104" s="16" t="s">
        <v>44</v>
      </c>
      <c r="E104" s="17">
        <v>0.25</v>
      </c>
      <c r="F104" s="17">
        <v>0</v>
      </c>
    </row>
    <row r="105" spans="1:6" x14ac:dyDescent="0.45">
      <c r="A105" s="16" t="s">
        <v>30</v>
      </c>
      <c r="B105" s="16" t="s">
        <v>28</v>
      </c>
      <c r="C105" s="16" t="s">
        <v>43</v>
      </c>
      <c r="D105" s="16" t="s">
        <v>44</v>
      </c>
      <c r="E105" s="17">
        <v>0.25</v>
      </c>
      <c r="F105" s="17">
        <v>0.13</v>
      </c>
    </row>
    <row r="106" spans="1:6" x14ac:dyDescent="0.45">
      <c r="A106" s="16" t="s">
        <v>30</v>
      </c>
      <c r="B106" s="16" t="s">
        <v>29</v>
      </c>
      <c r="C106" s="16" t="s">
        <v>43</v>
      </c>
      <c r="D106" s="16" t="s">
        <v>44</v>
      </c>
      <c r="E106" s="17">
        <v>0.25</v>
      </c>
      <c r="F106" s="17">
        <v>0.13</v>
      </c>
    </row>
    <row r="107" spans="1:6" x14ac:dyDescent="0.45">
      <c r="A107" s="16" t="s">
        <v>31</v>
      </c>
      <c r="B107" s="16" t="s">
        <v>25</v>
      </c>
      <c r="C107" s="16" t="s">
        <v>43</v>
      </c>
      <c r="D107" s="16" t="s">
        <v>44</v>
      </c>
      <c r="E107" s="17">
        <v>0.25</v>
      </c>
      <c r="F107" s="17">
        <v>0</v>
      </c>
    </row>
    <row r="108" spans="1:6" x14ac:dyDescent="0.45">
      <c r="A108" s="16" t="s">
        <v>31</v>
      </c>
      <c r="B108" s="16" t="s">
        <v>28</v>
      </c>
      <c r="C108" s="16" t="s">
        <v>43</v>
      </c>
      <c r="D108" s="16" t="s">
        <v>44</v>
      </c>
      <c r="E108" s="17">
        <v>0.25</v>
      </c>
      <c r="F108" s="17">
        <v>0.25</v>
      </c>
    </row>
    <row r="109" spans="1:6" x14ac:dyDescent="0.45">
      <c r="A109" s="16" t="s">
        <v>31</v>
      </c>
      <c r="B109" s="16" t="s">
        <v>29</v>
      </c>
      <c r="C109" s="16" t="s">
        <v>43</v>
      </c>
      <c r="D109" s="16" t="s">
        <v>44</v>
      </c>
      <c r="E109" s="17">
        <v>0.25</v>
      </c>
      <c r="F109" s="17">
        <v>0</v>
      </c>
    </row>
    <row r="110" spans="1:6" x14ac:dyDescent="0.45">
      <c r="A110" s="16" t="s">
        <v>24</v>
      </c>
      <c r="B110" s="16" t="s">
        <v>25</v>
      </c>
      <c r="C110" s="16" t="s">
        <v>43</v>
      </c>
      <c r="D110" s="16" t="s">
        <v>45</v>
      </c>
      <c r="E110" s="17">
        <v>0.25</v>
      </c>
      <c r="F110" s="17">
        <v>0.13</v>
      </c>
    </row>
    <row r="111" spans="1:6" x14ac:dyDescent="0.45">
      <c r="A111" s="16" t="s">
        <v>24</v>
      </c>
      <c r="B111" s="16" t="s">
        <v>28</v>
      </c>
      <c r="C111" s="16" t="s">
        <v>43</v>
      </c>
      <c r="D111" s="16" t="s">
        <v>45</v>
      </c>
      <c r="E111" s="17">
        <v>0.38</v>
      </c>
      <c r="F111" s="17">
        <v>0.13</v>
      </c>
    </row>
    <row r="112" spans="1:6" x14ac:dyDescent="0.45">
      <c r="A112" s="16" t="s">
        <v>24</v>
      </c>
      <c r="B112" s="16" t="s">
        <v>29</v>
      </c>
      <c r="C112" s="16" t="s">
        <v>43</v>
      </c>
      <c r="D112" s="16" t="s">
        <v>45</v>
      </c>
      <c r="E112" s="17">
        <v>0</v>
      </c>
      <c r="F112" s="17">
        <v>0</v>
      </c>
    </row>
    <row r="113" spans="1:6" x14ac:dyDescent="0.45">
      <c r="A113" s="16" t="s">
        <v>30</v>
      </c>
      <c r="B113" s="16" t="s">
        <v>25</v>
      </c>
      <c r="C113" s="16" t="s">
        <v>43</v>
      </c>
      <c r="D113" s="16" t="s">
        <v>45</v>
      </c>
      <c r="E113" s="17">
        <v>0</v>
      </c>
      <c r="F113" s="17">
        <v>0</v>
      </c>
    </row>
    <row r="114" spans="1:6" x14ac:dyDescent="0.45">
      <c r="A114" s="16" t="s">
        <v>30</v>
      </c>
      <c r="B114" s="16" t="s">
        <v>28</v>
      </c>
      <c r="C114" s="16" t="s">
        <v>43</v>
      </c>
      <c r="D114" s="16" t="s">
        <v>45</v>
      </c>
      <c r="E114" s="17">
        <v>0.25</v>
      </c>
      <c r="F114" s="17">
        <v>0.25</v>
      </c>
    </row>
    <row r="115" spans="1:6" x14ac:dyDescent="0.45">
      <c r="A115" s="16" t="s">
        <v>30</v>
      </c>
      <c r="B115" s="16" t="s">
        <v>29</v>
      </c>
      <c r="C115" s="16" t="s">
        <v>43</v>
      </c>
      <c r="D115" s="16" t="s">
        <v>45</v>
      </c>
      <c r="E115" s="17">
        <v>0</v>
      </c>
      <c r="F115" s="17">
        <v>0</v>
      </c>
    </row>
    <row r="116" spans="1:6" x14ac:dyDescent="0.45">
      <c r="A116" s="16" t="s">
        <v>31</v>
      </c>
      <c r="B116" s="16" t="s">
        <v>25</v>
      </c>
      <c r="C116" s="16" t="s">
        <v>43</v>
      </c>
      <c r="D116" s="16" t="s">
        <v>45</v>
      </c>
      <c r="E116" s="17">
        <v>0.13</v>
      </c>
      <c r="F116" s="17">
        <v>0</v>
      </c>
    </row>
    <row r="117" spans="1:6" x14ac:dyDescent="0.45">
      <c r="A117" s="16" t="s">
        <v>31</v>
      </c>
      <c r="B117" s="16" t="s">
        <v>28</v>
      </c>
      <c r="C117" s="16" t="s">
        <v>43</v>
      </c>
      <c r="D117" s="16" t="s">
        <v>45</v>
      </c>
      <c r="E117" s="17">
        <v>0.38</v>
      </c>
      <c r="F117" s="17">
        <v>0</v>
      </c>
    </row>
    <row r="118" spans="1:6" x14ac:dyDescent="0.45">
      <c r="A118" s="16" t="s">
        <v>31</v>
      </c>
      <c r="B118" s="16" t="s">
        <v>29</v>
      </c>
      <c r="C118" s="16" t="s">
        <v>43</v>
      </c>
      <c r="D118" s="16" t="s">
        <v>45</v>
      </c>
      <c r="E118" s="17">
        <v>0.25</v>
      </c>
      <c r="F118" s="17">
        <v>0</v>
      </c>
    </row>
    <row r="119" spans="1:6" x14ac:dyDescent="0.45">
      <c r="A119" s="16" t="s">
        <v>24</v>
      </c>
      <c r="B119" s="16" t="s">
        <v>25</v>
      </c>
      <c r="C119" s="16" t="s">
        <v>43</v>
      </c>
      <c r="D119" s="16" t="s">
        <v>46</v>
      </c>
      <c r="E119" s="17">
        <v>0.13</v>
      </c>
      <c r="F119" s="17">
        <v>0</v>
      </c>
    </row>
    <row r="120" spans="1:6" x14ac:dyDescent="0.45">
      <c r="A120" s="16" t="s">
        <v>24</v>
      </c>
      <c r="B120" s="16" t="s">
        <v>28</v>
      </c>
      <c r="C120" s="16" t="s">
        <v>43</v>
      </c>
      <c r="D120" s="16" t="s">
        <v>46</v>
      </c>
      <c r="E120" s="17">
        <v>0.38</v>
      </c>
      <c r="F120" s="17">
        <v>0.38</v>
      </c>
    </row>
    <row r="121" spans="1:6" x14ac:dyDescent="0.45">
      <c r="A121" s="16" t="s">
        <v>24</v>
      </c>
      <c r="B121" s="16" t="s">
        <v>29</v>
      </c>
      <c r="C121" s="16" t="s">
        <v>43</v>
      </c>
      <c r="D121" s="16" t="s">
        <v>46</v>
      </c>
      <c r="E121" s="17">
        <v>0.25</v>
      </c>
      <c r="F121" s="17">
        <v>0</v>
      </c>
    </row>
    <row r="122" spans="1:6" x14ac:dyDescent="0.45">
      <c r="A122" s="16" t="s">
        <v>30</v>
      </c>
      <c r="B122" s="16" t="s">
        <v>25</v>
      </c>
      <c r="C122" s="16" t="s">
        <v>43</v>
      </c>
      <c r="D122" s="16" t="s">
        <v>46</v>
      </c>
      <c r="E122" s="17">
        <v>0.25</v>
      </c>
      <c r="F122" s="17">
        <v>0.13</v>
      </c>
    </row>
    <row r="123" spans="1:6" x14ac:dyDescent="0.45">
      <c r="A123" s="16" t="s">
        <v>30</v>
      </c>
      <c r="B123" s="16" t="s">
        <v>28</v>
      </c>
      <c r="C123" s="16" t="s">
        <v>43</v>
      </c>
      <c r="D123" s="16" t="s">
        <v>46</v>
      </c>
      <c r="E123" s="17">
        <v>0.5</v>
      </c>
      <c r="F123" s="17">
        <v>0.13</v>
      </c>
    </row>
    <row r="124" spans="1:6" x14ac:dyDescent="0.45">
      <c r="A124" s="16" t="s">
        <v>30</v>
      </c>
      <c r="B124" s="16" t="s">
        <v>29</v>
      </c>
      <c r="C124" s="16" t="s">
        <v>43</v>
      </c>
      <c r="D124" s="16" t="s">
        <v>46</v>
      </c>
      <c r="E124" s="17">
        <v>0.13</v>
      </c>
      <c r="F124" s="17">
        <v>0</v>
      </c>
    </row>
    <row r="125" spans="1:6" x14ac:dyDescent="0.45">
      <c r="A125" s="16" t="s">
        <v>31</v>
      </c>
      <c r="B125" s="16" t="s">
        <v>25</v>
      </c>
      <c r="C125" s="16" t="s">
        <v>43</v>
      </c>
      <c r="D125" s="16" t="s">
        <v>46</v>
      </c>
      <c r="E125" s="17">
        <v>0.25</v>
      </c>
      <c r="F125" s="17">
        <v>0</v>
      </c>
    </row>
    <row r="126" spans="1:6" x14ac:dyDescent="0.45">
      <c r="A126" s="16" t="s">
        <v>31</v>
      </c>
      <c r="B126" s="16" t="s">
        <v>28</v>
      </c>
      <c r="C126" s="16" t="s">
        <v>43</v>
      </c>
      <c r="D126" s="16" t="s">
        <v>46</v>
      </c>
      <c r="E126" s="17">
        <v>0.25</v>
      </c>
      <c r="F126" s="17">
        <v>0.25</v>
      </c>
    </row>
    <row r="127" spans="1:6" x14ac:dyDescent="0.45">
      <c r="A127" s="16" t="s">
        <v>31</v>
      </c>
      <c r="B127" s="16" t="s">
        <v>29</v>
      </c>
      <c r="C127" s="16" t="s">
        <v>43</v>
      </c>
      <c r="D127" s="16" t="s">
        <v>46</v>
      </c>
      <c r="E127" s="17">
        <v>0.25</v>
      </c>
      <c r="F127" s="17">
        <v>0.25</v>
      </c>
    </row>
    <row r="128" spans="1:6" x14ac:dyDescent="0.45">
      <c r="A128" s="16" t="s">
        <v>24</v>
      </c>
      <c r="B128" s="16" t="s">
        <v>25</v>
      </c>
      <c r="C128" s="16" t="s">
        <v>43</v>
      </c>
      <c r="D128" s="16" t="s">
        <v>47</v>
      </c>
      <c r="E128" s="17">
        <v>0.25</v>
      </c>
      <c r="F128" s="17">
        <v>0</v>
      </c>
    </row>
    <row r="129" spans="1:6" x14ac:dyDescent="0.45">
      <c r="A129" s="16" t="s">
        <v>24</v>
      </c>
      <c r="B129" s="16" t="s">
        <v>28</v>
      </c>
      <c r="C129" s="16" t="s">
        <v>43</v>
      </c>
      <c r="D129" s="16" t="s">
        <v>47</v>
      </c>
      <c r="E129" s="17">
        <v>0.13</v>
      </c>
      <c r="F129" s="17">
        <v>0.13</v>
      </c>
    </row>
    <row r="130" spans="1:6" x14ac:dyDescent="0.45">
      <c r="A130" s="16" t="s">
        <v>24</v>
      </c>
      <c r="B130" s="16" t="s">
        <v>29</v>
      </c>
      <c r="C130" s="16" t="s">
        <v>43</v>
      </c>
      <c r="D130" s="16" t="s">
        <v>47</v>
      </c>
      <c r="E130" s="17">
        <v>0.13</v>
      </c>
      <c r="F130" s="17">
        <v>0</v>
      </c>
    </row>
    <row r="131" spans="1:6" x14ac:dyDescent="0.45">
      <c r="A131" s="16" t="s">
        <v>30</v>
      </c>
      <c r="B131" s="16" t="s">
        <v>25</v>
      </c>
      <c r="C131" s="16" t="s">
        <v>43</v>
      </c>
      <c r="D131" s="16" t="s">
        <v>47</v>
      </c>
      <c r="E131" s="17">
        <v>0.13</v>
      </c>
      <c r="F131" s="17">
        <v>0</v>
      </c>
    </row>
    <row r="132" spans="1:6" x14ac:dyDescent="0.45">
      <c r="A132" s="16" t="s">
        <v>30</v>
      </c>
      <c r="B132" s="16" t="s">
        <v>28</v>
      </c>
      <c r="C132" s="16" t="s">
        <v>43</v>
      </c>
      <c r="D132" s="16" t="s">
        <v>47</v>
      </c>
      <c r="E132" s="17">
        <v>0.13</v>
      </c>
      <c r="F132" s="17">
        <v>0</v>
      </c>
    </row>
    <row r="133" spans="1:6" x14ac:dyDescent="0.45">
      <c r="A133" s="16" t="s">
        <v>30</v>
      </c>
      <c r="B133" s="16" t="s">
        <v>29</v>
      </c>
      <c r="C133" s="16" t="s">
        <v>43</v>
      </c>
      <c r="D133" s="16" t="s">
        <v>47</v>
      </c>
      <c r="E133" s="17">
        <v>0.13</v>
      </c>
      <c r="F133" s="17">
        <v>0</v>
      </c>
    </row>
    <row r="134" spans="1:6" x14ac:dyDescent="0.45">
      <c r="A134" s="16" t="s">
        <v>31</v>
      </c>
      <c r="B134" s="16" t="s">
        <v>25</v>
      </c>
      <c r="C134" s="16" t="s">
        <v>43</v>
      </c>
      <c r="D134" s="16" t="s">
        <v>47</v>
      </c>
      <c r="E134" s="17">
        <v>0.13</v>
      </c>
      <c r="F134" s="17">
        <v>0</v>
      </c>
    </row>
    <row r="135" spans="1:6" x14ac:dyDescent="0.45">
      <c r="A135" s="16" t="s">
        <v>31</v>
      </c>
      <c r="B135" s="16" t="s">
        <v>28</v>
      </c>
      <c r="C135" s="16" t="s">
        <v>43</v>
      </c>
      <c r="D135" s="16" t="s">
        <v>47</v>
      </c>
      <c r="E135" s="17">
        <v>0.13</v>
      </c>
      <c r="F135" s="17">
        <v>0</v>
      </c>
    </row>
    <row r="136" spans="1:6" x14ac:dyDescent="0.45">
      <c r="A136" s="16" t="s">
        <v>31</v>
      </c>
      <c r="B136" s="16" t="s">
        <v>29</v>
      </c>
      <c r="C136" s="16" t="s">
        <v>43</v>
      </c>
      <c r="D136" s="16" t="s">
        <v>47</v>
      </c>
      <c r="E136" s="17">
        <v>0.13</v>
      </c>
      <c r="F136" s="17">
        <v>0</v>
      </c>
    </row>
    <row r="137" spans="1:6" x14ac:dyDescent="0.45">
      <c r="A137" s="16" t="s">
        <v>24</v>
      </c>
      <c r="B137" s="16" t="s">
        <v>25</v>
      </c>
      <c r="C137" s="16" t="s">
        <v>43</v>
      </c>
      <c r="D137" s="16" t="s">
        <v>48</v>
      </c>
      <c r="E137" s="17">
        <v>0.13</v>
      </c>
      <c r="F137" s="17">
        <v>0</v>
      </c>
    </row>
    <row r="138" spans="1:6" x14ac:dyDescent="0.45">
      <c r="A138" s="16" t="s">
        <v>24</v>
      </c>
      <c r="B138" s="16" t="s">
        <v>28</v>
      </c>
      <c r="C138" s="16" t="s">
        <v>43</v>
      </c>
      <c r="D138" s="16" t="s">
        <v>48</v>
      </c>
      <c r="E138" s="17">
        <v>0.13</v>
      </c>
      <c r="F138" s="17">
        <v>0</v>
      </c>
    </row>
    <row r="139" spans="1:6" x14ac:dyDescent="0.45">
      <c r="A139" s="16" t="s">
        <v>24</v>
      </c>
      <c r="B139" s="16" t="s">
        <v>29</v>
      </c>
      <c r="C139" s="16" t="s">
        <v>43</v>
      </c>
      <c r="D139" s="16" t="s">
        <v>48</v>
      </c>
      <c r="E139" s="17">
        <v>0.13</v>
      </c>
      <c r="F139" s="17">
        <v>0</v>
      </c>
    </row>
    <row r="140" spans="1:6" x14ac:dyDescent="0.45">
      <c r="A140" s="16" t="s">
        <v>30</v>
      </c>
      <c r="B140" s="16" t="s">
        <v>25</v>
      </c>
      <c r="C140" s="16" t="s">
        <v>43</v>
      </c>
      <c r="D140" s="16" t="s">
        <v>48</v>
      </c>
      <c r="E140" s="17">
        <v>0.13</v>
      </c>
      <c r="F140" s="17">
        <v>0</v>
      </c>
    </row>
    <row r="141" spans="1:6" x14ac:dyDescent="0.45">
      <c r="A141" s="16" t="s">
        <v>30</v>
      </c>
      <c r="B141" s="16" t="s">
        <v>28</v>
      </c>
      <c r="C141" s="16" t="s">
        <v>43</v>
      </c>
      <c r="D141" s="16" t="s">
        <v>48</v>
      </c>
      <c r="E141" s="17">
        <v>0.13</v>
      </c>
      <c r="F141" s="17">
        <v>0</v>
      </c>
    </row>
    <row r="142" spans="1:6" x14ac:dyDescent="0.45">
      <c r="A142" s="16" t="s">
        <v>30</v>
      </c>
      <c r="B142" s="16" t="s">
        <v>29</v>
      </c>
      <c r="C142" s="16" t="s">
        <v>43</v>
      </c>
      <c r="D142" s="16" t="s">
        <v>48</v>
      </c>
      <c r="E142" s="17">
        <v>0.13</v>
      </c>
      <c r="F142" s="17">
        <v>0.13</v>
      </c>
    </row>
    <row r="143" spans="1:6" x14ac:dyDescent="0.45">
      <c r="A143" s="16" t="s">
        <v>31</v>
      </c>
      <c r="B143" s="16" t="s">
        <v>25</v>
      </c>
      <c r="C143" s="16" t="s">
        <v>43</v>
      </c>
      <c r="D143" s="16" t="s">
        <v>48</v>
      </c>
      <c r="E143" s="17">
        <v>0.13</v>
      </c>
      <c r="F143" s="17">
        <v>0.13</v>
      </c>
    </row>
    <row r="144" spans="1:6" x14ac:dyDescent="0.45">
      <c r="A144" s="16" t="s">
        <v>31</v>
      </c>
      <c r="B144" s="16" t="s">
        <v>28</v>
      </c>
      <c r="C144" s="16" t="s">
        <v>43</v>
      </c>
      <c r="D144" s="16" t="s">
        <v>48</v>
      </c>
      <c r="E144" s="17">
        <v>0.13</v>
      </c>
      <c r="F144" s="17">
        <v>0</v>
      </c>
    </row>
    <row r="145" spans="1:6" x14ac:dyDescent="0.45">
      <c r="A145" s="16" t="s">
        <v>31</v>
      </c>
      <c r="B145" s="16" t="s">
        <v>29</v>
      </c>
      <c r="C145" s="16" t="s">
        <v>43</v>
      </c>
      <c r="D145" s="16" t="s">
        <v>48</v>
      </c>
      <c r="E145" s="17">
        <v>0.13</v>
      </c>
      <c r="F145" s="17">
        <v>0</v>
      </c>
    </row>
    <row r="147" spans="1:6" ht="45" customHeight="1" x14ac:dyDescent="0.45">
      <c r="A147" s="1" t="s">
        <v>116</v>
      </c>
      <c r="B147" s="1"/>
      <c r="C147" s="1"/>
      <c r="D147" s="1"/>
      <c r="E147" s="1"/>
      <c r="F147" s="1"/>
    </row>
  </sheetData>
  <mergeCells count="1">
    <mergeCell ref="A147:F14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zoomScaleNormal="100" workbookViewId="0">
      <selection activeCell="A40" sqref="A40"/>
    </sheetView>
  </sheetViews>
  <sheetFormatPr defaultColWidth="8.6640625" defaultRowHeight="14.25" x14ac:dyDescent="0.45"/>
  <cols>
    <col min="1" max="1" width="34" customWidth="1"/>
    <col min="2" max="3" width="12" customWidth="1"/>
    <col min="4" max="4" width="14" customWidth="1"/>
    <col min="5" max="5" width="8" customWidth="1"/>
    <col min="6" max="6" width="26" customWidth="1"/>
  </cols>
  <sheetData>
    <row r="1" spans="1:6" x14ac:dyDescent="0.45">
      <c r="A1" s="6" t="s">
        <v>117</v>
      </c>
    </row>
    <row r="2" spans="1:6" x14ac:dyDescent="0.45">
      <c r="A2" s="1" t="s">
        <v>118</v>
      </c>
      <c r="B2" s="1"/>
      <c r="C2" s="1"/>
      <c r="D2" s="1"/>
      <c r="E2" s="1"/>
      <c r="F2" s="1"/>
    </row>
    <row r="4" spans="1:6" x14ac:dyDescent="0.45">
      <c r="A4" s="6" t="s">
        <v>106</v>
      </c>
    </row>
    <row r="5" spans="1:6" x14ac:dyDescent="0.45">
      <c r="A5" s="10"/>
      <c r="B5" s="10" t="s">
        <v>119</v>
      </c>
      <c r="C5" s="10" t="s">
        <v>120</v>
      </c>
      <c r="D5" s="10" t="s">
        <v>121</v>
      </c>
      <c r="E5" s="10" t="s">
        <v>85</v>
      </c>
    </row>
    <row r="6" spans="1:6" x14ac:dyDescent="0.45">
      <c r="A6" s="16" t="s">
        <v>122</v>
      </c>
      <c r="B6" s="17">
        <f>AVERAGE(Raw_FakeAcceptance_AllBackbones!E2:E145)</f>
        <v>0.40930555555555598</v>
      </c>
      <c r="C6" s="17">
        <f>AVERAGE(Raw_FakeAcceptance_AllBackbones!F2:F145)</f>
        <v>0.16118055555555549</v>
      </c>
      <c r="D6" s="18">
        <f>1-(C6/B6)</f>
        <v>0.60620970478452718</v>
      </c>
      <c r="E6" s="16">
        <f>COUNT(Raw_FakeAcceptance_AllBackbones!E2:E145)</f>
        <v>144</v>
      </c>
    </row>
    <row r="8" spans="1:6" x14ac:dyDescent="0.45">
      <c r="A8" s="19"/>
    </row>
    <row r="10" spans="1:6" x14ac:dyDescent="0.45">
      <c r="A10" s="6" t="s">
        <v>123</v>
      </c>
    </row>
    <row r="11" spans="1:6" x14ac:dyDescent="0.45">
      <c r="A11" s="10" t="s">
        <v>18</v>
      </c>
      <c r="B11" s="10" t="s">
        <v>119</v>
      </c>
      <c r="C11" s="10" t="s">
        <v>120</v>
      </c>
      <c r="D11" s="10" t="s">
        <v>121</v>
      </c>
      <c r="E11" s="10" t="s">
        <v>85</v>
      </c>
    </row>
    <row r="12" spans="1:6" x14ac:dyDescent="0.45">
      <c r="A12" s="16" t="s">
        <v>26</v>
      </c>
      <c r="B12" s="17">
        <f>AVERAGEIF(Raw_FakeAcceptance_AllBackbones!C2:C145,"Medical",Raw_FakeAcceptance_AllBackbones!E2:E145)</f>
        <v>0.40634920634920618</v>
      </c>
      <c r="C12" s="17">
        <f>AVERAGEIF(Raw_FakeAcceptance_AllBackbones!C2:C145,"Medical",Raw_FakeAcceptance_AllBackbones!F2:F145)</f>
        <v>0.16523809523809527</v>
      </c>
      <c r="D12" s="18">
        <f>1-(C12/B12)</f>
        <v>0.59335937499999969</v>
      </c>
      <c r="E12" s="16">
        <f>COUNTIF(Raw_FakeAcceptance_AllBackbones!C2:C145,"Medical")</f>
        <v>63</v>
      </c>
    </row>
    <row r="13" spans="1:6" x14ac:dyDescent="0.45">
      <c r="A13" s="16" t="s">
        <v>38</v>
      </c>
      <c r="B13" s="17">
        <f>AVERAGEIF(Raw_FakeAcceptance_AllBackbones!C2:C145,"Geography",Raw_FakeAcceptance_AllBackbones!E2:E145)</f>
        <v>0.69</v>
      </c>
      <c r="C13" s="17">
        <f>AVERAGEIF(Raw_FakeAcceptance_AllBackbones!C2:C145,"Geography",Raw_FakeAcceptance_AllBackbones!F2:F145)</f>
        <v>0.28472222222222227</v>
      </c>
      <c r="D13" s="18">
        <f>1-(C13/B13)</f>
        <v>0.58735909822866339</v>
      </c>
      <c r="E13" s="16">
        <f>COUNTIF(Raw_FakeAcceptance_AllBackbones!C2:C145,"Geography")</f>
        <v>36</v>
      </c>
    </row>
    <row r="14" spans="1:6" x14ac:dyDescent="0.45">
      <c r="A14" s="16" t="s">
        <v>43</v>
      </c>
      <c r="B14" s="17">
        <f>AVERAGEIF(Raw_FakeAcceptance_AllBackbones!C2:C145,"General Knowledge",Raw_FakeAcceptance_AllBackbones!E2:E145)</f>
        <v>0.18888888888888888</v>
      </c>
      <c r="C14" s="17">
        <f>AVERAGEIF(Raw_FakeAcceptance_AllBackbones!C2:C145,"General Knowledge",Raw_FakeAcceptance_AllBackbones!F2:F145)</f>
        <v>5.666666666666665E-2</v>
      </c>
      <c r="D14" s="18">
        <f>1-(C14/B14)</f>
        <v>0.70000000000000007</v>
      </c>
      <c r="E14" s="16">
        <f>COUNTIF(Raw_FakeAcceptance_AllBackbones!C2:C145,"General Knowledge")</f>
        <v>45</v>
      </c>
    </row>
    <row r="16" spans="1:6" x14ac:dyDescent="0.45">
      <c r="A16" s="1"/>
      <c r="B16" s="1"/>
      <c r="C16" s="1"/>
      <c r="D16" s="1"/>
      <c r="E16" s="1"/>
      <c r="F16" s="1"/>
    </row>
    <row r="19" spans="1:6" x14ac:dyDescent="0.45">
      <c r="A19" s="6" t="s">
        <v>124</v>
      </c>
    </row>
    <row r="20" spans="1:6" x14ac:dyDescent="0.45">
      <c r="A20" s="10" t="s">
        <v>16</v>
      </c>
      <c r="B20" s="10" t="s">
        <v>119</v>
      </c>
      <c r="C20" s="10" t="s">
        <v>120</v>
      </c>
      <c r="D20" s="10" t="s">
        <v>121</v>
      </c>
      <c r="E20" s="10" t="s">
        <v>85</v>
      </c>
    </row>
    <row r="21" spans="1:6" x14ac:dyDescent="0.45">
      <c r="A21" s="16" t="s">
        <v>125</v>
      </c>
      <c r="B21" s="17">
        <f>AVERAGEIF(Raw_FakeAcceptance_AllBackbones!A2:A145,"RedHatAI/gemma-4-26B-A4B-it-FP8-Dynamic",Raw_FakeAcceptance_AllBackbones!E2:E145)</f>
        <v>0.46020833333333316</v>
      </c>
      <c r="C21" s="17">
        <f>AVERAGEIF(Raw_FakeAcceptance_AllBackbones!A2:A145,"RedHatAI/gemma-4-26B-A4B-it-FP8-Dynamic",Raw_FakeAcceptance_AllBackbones!F2:F145)</f>
        <v>0.16812499999999997</v>
      </c>
      <c r="D21" s="18">
        <f>1-(C21/B21)</f>
        <v>0.63467632412856489</v>
      </c>
      <c r="E21" s="16">
        <f>COUNTIF(Raw_FakeAcceptance_AllBackbones!A2:A145,"RedHatAI/gemma-4-26B-A4B-it-FP8-Dynamic")</f>
        <v>48</v>
      </c>
    </row>
    <row r="22" spans="1:6" x14ac:dyDescent="0.45">
      <c r="A22" s="16" t="s">
        <v>126</v>
      </c>
      <c r="B22" s="17">
        <f>AVERAGEIF(Raw_FakeAcceptance_AllBackbones!A2:A145,"llama-3.3-70b-versatile",Raw_FakeAcceptance_AllBackbones!E2:E145)</f>
        <v>0.3645833333333332</v>
      </c>
      <c r="C22" s="17">
        <f>AVERAGEIF(Raw_FakeAcceptance_AllBackbones!A2:A145,"llama-3.3-70b-versatile",Raw_FakeAcceptance_AllBackbones!F2:F145)</f>
        <v>0.1439583333333333</v>
      </c>
      <c r="D22" s="18">
        <f>1-(C22/B22)</f>
        <v>0.60514285714285709</v>
      </c>
      <c r="E22" s="16">
        <f>COUNTIF(Raw_FakeAcceptance_AllBackbones!A2:A145,"llama-3.3-70b-versatile")</f>
        <v>48</v>
      </c>
    </row>
    <row r="23" spans="1:6" x14ac:dyDescent="0.45">
      <c r="A23" s="16" t="s">
        <v>127</v>
      </c>
      <c r="B23" s="17">
        <f>AVERAGEIF(Raw_FakeAcceptance_AllBackbones!A2:A145,"QuantTrio/Qwen3.6-35B-A3B-AWQ",Raw_FakeAcceptance_AllBackbones!E2:E145)</f>
        <v>0.4031249999999999</v>
      </c>
      <c r="C23" s="17">
        <f>AVERAGEIF(Raw_FakeAcceptance_AllBackbones!A2:A145,"QuantTrio/Qwen3.6-35B-A3B-AWQ",Raw_FakeAcceptance_AllBackbones!F2:F145)</f>
        <v>0.1714583333333333</v>
      </c>
      <c r="D23" s="18">
        <f>1-(C23/B23)</f>
        <v>0.57467700258397936</v>
      </c>
      <c r="E23" s="16">
        <f>COUNTIF(Raw_FakeAcceptance_AllBackbones!A2:A145,"QuantTrio/Qwen3.6-35B-A3B-AWQ")</f>
        <v>48</v>
      </c>
    </row>
    <row r="25" spans="1:6" x14ac:dyDescent="0.45">
      <c r="A25" s="1"/>
      <c r="B25" s="1"/>
      <c r="C25" s="1"/>
      <c r="D25" s="1"/>
      <c r="E25" s="1"/>
      <c r="F25" s="1"/>
    </row>
    <row r="28" spans="1:6" x14ac:dyDescent="0.45">
      <c r="A28" s="6" t="s">
        <v>128</v>
      </c>
    </row>
    <row r="29" spans="1:6" x14ac:dyDescent="0.45">
      <c r="A29" s="10" t="s">
        <v>17</v>
      </c>
      <c r="B29" s="10" t="s">
        <v>119</v>
      </c>
      <c r="C29" s="10" t="s">
        <v>120</v>
      </c>
      <c r="D29" s="10" t="s">
        <v>121</v>
      </c>
      <c r="E29" s="10" t="s">
        <v>85</v>
      </c>
    </row>
    <row r="30" spans="1:6" x14ac:dyDescent="0.45">
      <c r="A30" s="16" t="s">
        <v>25</v>
      </c>
      <c r="B30" s="17">
        <f>AVERAGEIF(Raw_FakeAcceptance_AllBackbones!B2:B145,"Standard (list-based)",Raw_FakeAcceptance_AllBackbones!E2:E145)</f>
        <v>0.41937499999999989</v>
      </c>
      <c r="C30" s="17">
        <f>AVERAGEIF(Raw_FakeAcceptance_AllBackbones!B2:B145,"Standard (list-based)",Raw_FakeAcceptance_AllBackbones!F2:F145)</f>
        <v>0.18770833333333337</v>
      </c>
      <c r="D30" s="18">
        <f>1-(C30/B30)</f>
        <v>0.55240933929458502</v>
      </c>
      <c r="E30" s="16">
        <f>COUNTIF(Raw_FakeAcceptance_AllBackbones!B2:B145,"Standard (list-based)")</f>
        <v>48</v>
      </c>
    </row>
    <row r="31" spans="1:6" x14ac:dyDescent="0.45">
      <c r="A31" s="16" t="s">
        <v>28</v>
      </c>
      <c r="B31" s="17">
        <f>AVERAGEIF(Raw_FakeAcceptance_AllBackbones!B2:B145,"Analyst (evaluate + list)",Raw_FakeAcceptance_AllBackbones!E2:E145)</f>
        <v>0.39124999999999988</v>
      </c>
      <c r="C31" s="17">
        <f>AVERAGEIF(Raw_FakeAcceptance_AllBackbones!B2:B145,"Analyst (evaluate + list)",Raw_FakeAcceptance_AllBackbones!F2:F145)</f>
        <v>0.19270833333333337</v>
      </c>
      <c r="D31" s="18">
        <f>1-(C31/B31)</f>
        <v>0.50745473908413175</v>
      </c>
      <c r="E31" s="16">
        <f>COUNTIF(Raw_FakeAcceptance_AllBackbones!B2:B145,"Analyst (evaluate + list)")</f>
        <v>48</v>
      </c>
    </row>
    <row r="32" spans="1:6" x14ac:dyDescent="0.45">
      <c r="A32" s="16" t="s">
        <v>29</v>
      </c>
      <c r="B32" s="17">
        <f>AVERAGEIF(Raw_FakeAcceptance_AllBackbones!B2:B145,"OPRO-style (optimised)",Raw_FakeAcceptance_AllBackbones!E2:E145)</f>
        <v>0.41729166666666662</v>
      </c>
      <c r="C32" s="17">
        <f>AVERAGEIF(Raw_FakeAcceptance_AllBackbones!B2:B145,"OPRO-style (optimised)",Raw_FakeAcceptance_AllBackbones!F2:F145)</f>
        <v>0.10312499999999998</v>
      </c>
      <c r="D32" s="18">
        <f>1-(C32/B32)</f>
        <v>0.75287069395906148</v>
      </c>
      <c r="E32" s="16">
        <f>COUNTIF(Raw_FakeAcceptance_AllBackbones!B2:B145,"OPRO-style (optimised)")</f>
        <v>48</v>
      </c>
    </row>
    <row r="34" spans="1:6" x14ac:dyDescent="0.45">
      <c r="A34" s="1"/>
      <c r="B34" s="1"/>
      <c r="C34" s="1"/>
      <c r="D34" s="1"/>
      <c r="E34" s="1"/>
      <c r="F34" s="1"/>
    </row>
  </sheetData>
  <mergeCells count="4">
    <mergeCell ref="A2:F2"/>
    <mergeCell ref="A16:F16"/>
    <mergeCell ref="A25:F25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Raw_Recall_AllBackbones</vt:lpstr>
      <vt:lpstr>Raw_Gemma_FakeAccept_Recall</vt:lpstr>
      <vt:lpstr>Table3_Recall</vt:lpstr>
      <vt:lpstr>Table4_Lineage</vt:lpstr>
      <vt:lpstr>Raw_FakeAcceptance_AllBackbones</vt:lpstr>
      <vt:lpstr>Table1_Table2_FakeAcceptance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zubaria asma</cp:lastModifiedBy>
  <cp:revision>0</cp:revision>
  <dcterms:created xsi:type="dcterms:W3CDTF">2026-08-16T12:53:41Z</dcterms:created>
  <dcterms:modified xsi:type="dcterms:W3CDTF">2026-08-16T13:45:27Z</dcterms:modified>
  <dc:language>en-US</dc:language>
</cp:coreProperties>
</file>